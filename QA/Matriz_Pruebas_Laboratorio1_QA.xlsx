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santiagohernandezb_javeriana_edu_co/Documents/"/>
    </mc:Choice>
  </mc:AlternateContent>
  <xr:revisionPtr revIDLastSave="0" documentId="8_{AEBFE9FB-60C6-42EC-8BBB-D9D50635DB19}" xr6:coauthVersionLast="47" xr6:coauthVersionMax="47" xr10:uidLastSave="{00000000-0000-0000-0000-000000000000}"/>
  <bookViews>
    <workbookView xWindow="0" yWindow="760" windowWidth="34200" windowHeight="21480" tabRatio="500" firstSheet="3" activeTab="3" xr2:uid="{00000000-000D-0000-FFFF-FFFF00000000}"/>
  </bookViews>
  <sheets>
    <sheet name="Resumen" sheetId="1" r:id="rId1"/>
    <sheet name="Requisitos" sheetId="2" r:id="rId2"/>
    <sheet name="Casos de prueba" sheetId="3" r:id="rId3"/>
    <sheet name="Defectos" sheetId="4" r:id="rId4"/>
  </sheets>
  <definedNames>
    <definedName name="_xlnm._FilterDatabase" localSheetId="2" hidden="1">'Casos de prueba'!$A$1:$P$196</definedName>
  </definedNames>
  <calcPr fullCalcOnLoad="1"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2" l="1"/>
  <c r="H13" i="2"/>
  <c r="G13" i="2"/>
  <c r="F13" i="2"/>
  <c r="E13" i="2"/>
  <c r="I13" i="2" s="1"/>
  <c r="H12" i="2"/>
  <c r="G12" i="2"/>
  <c r="F12" i="2"/>
  <c r="E12" i="2"/>
  <c r="I12" i="2" s="1"/>
  <c r="H11" i="2"/>
  <c r="G11" i="2"/>
  <c r="F11" i="2"/>
  <c r="E11" i="2"/>
  <c r="I11" i="2" s="1"/>
  <c r="H10" i="2"/>
  <c r="G10" i="2"/>
  <c r="F10" i="2"/>
  <c r="E10" i="2"/>
  <c r="I10" i="2" s="1"/>
  <c r="H9" i="2"/>
  <c r="G9" i="2"/>
  <c r="F9" i="2"/>
  <c r="E9" i="2"/>
  <c r="I9" i="2" s="1"/>
  <c r="H8" i="2"/>
  <c r="G8" i="2"/>
  <c r="F8" i="2"/>
  <c r="E8" i="2"/>
  <c r="I8" i="2" s="1"/>
  <c r="H7" i="2"/>
  <c r="G7" i="2"/>
  <c r="F7" i="2"/>
  <c r="E7" i="2"/>
  <c r="I7" i="2" s="1"/>
  <c r="H6" i="2"/>
  <c r="G6" i="2"/>
  <c r="F6" i="2"/>
  <c r="E6" i="2"/>
  <c r="I6" i="2" s="1"/>
  <c r="H5" i="2"/>
  <c r="G5" i="2"/>
  <c r="F5" i="2"/>
  <c r="E5" i="2"/>
  <c r="H4" i="2"/>
  <c r="G4" i="2"/>
  <c r="F4" i="2"/>
  <c r="E4" i="2"/>
  <c r="I4" i="2" s="1"/>
  <c r="H3" i="2"/>
  <c r="G3" i="2"/>
  <c r="F3" i="2"/>
  <c r="E3" i="2"/>
  <c r="I3" i="2" s="1"/>
  <c r="H2" i="2"/>
  <c r="G2" i="2"/>
  <c r="F2" i="2"/>
  <c r="E2" i="2"/>
  <c r="I2" i="2" s="1"/>
  <c r="G26" i="1"/>
  <c r="F26" i="1"/>
  <c r="E26" i="1"/>
  <c r="D26" i="1"/>
  <c r="C26" i="1"/>
  <c r="B26" i="1"/>
  <c r="F25" i="1"/>
  <c r="E25" i="1"/>
  <c r="D25" i="1"/>
  <c r="C25" i="1"/>
  <c r="G25" i="1" s="1"/>
  <c r="B25" i="1"/>
  <c r="F24" i="1"/>
  <c r="E24" i="1"/>
  <c r="D24" i="1"/>
  <c r="C24" i="1"/>
  <c r="G24" i="1" s="1"/>
  <c r="B24" i="1"/>
  <c r="F23" i="1"/>
  <c r="E23" i="1"/>
  <c r="D23" i="1"/>
  <c r="C23" i="1"/>
  <c r="B23" i="1"/>
  <c r="G23" i="1" s="1"/>
  <c r="F22" i="1"/>
  <c r="E22" i="1"/>
  <c r="D22" i="1"/>
  <c r="C22" i="1"/>
  <c r="G22" i="1" s="1"/>
  <c r="B22" i="1"/>
  <c r="G21" i="1"/>
  <c r="F21" i="1"/>
  <c r="E21" i="1"/>
  <c r="D21" i="1"/>
  <c r="D27" i="1" s="1"/>
  <c r="C21" i="1"/>
  <c r="B21" i="1"/>
  <c r="F20" i="1"/>
  <c r="F27" i="1" s="1"/>
  <c r="E20" i="1"/>
  <c r="E27" i="1" s="1"/>
  <c r="D20" i="1"/>
  <c r="C20" i="1"/>
  <c r="G20" i="1" s="1"/>
  <c r="B20" i="1"/>
  <c r="B27" i="1" s="1"/>
  <c r="B15" i="1"/>
  <c r="B14" i="1"/>
  <c r="B11" i="1"/>
  <c r="B10" i="1"/>
  <c r="B9" i="1"/>
  <c r="B8" i="1"/>
  <c r="B7" i="1"/>
  <c r="B13" i="1" s="1"/>
  <c r="B6" i="1"/>
  <c r="C27" i="1" l="1"/>
  <c r="G27" i="1" s="1"/>
  <c r="B12" i="1"/>
</calcChain>
</file>

<file path=xl/sharedStrings.xml><?xml version="1.0" encoding="utf-8"?>
<sst xmlns="http://schemas.openxmlformats.org/spreadsheetml/2006/main" count="1956" uniqueCount="708">
  <si>
    <t>Matriz de pruebas de QA</t>
  </si>
  <si>
    <t>Laboratorio 1: Implementación de Monolito con patrón MVC y DAO (Arquitectura de Software, Pontificia Universidad Javeriana)</t>
  </si>
  <si>
    <t>Responsable de QA: Santiago Hernández. Versión inicial: 26/10/2026.</t>
  </si>
  <si>
    <t>Indicadores generales</t>
  </si>
  <si>
    <t>Casos de prueba</t>
  </si>
  <si>
    <t>Aprobados</t>
  </si>
  <si>
    <t>Fallidos</t>
  </si>
  <si>
    <t>Bloqueados</t>
  </si>
  <si>
    <t>Pendientes</t>
  </si>
  <si>
    <t>No aplica</t>
  </si>
  <si>
    <t>Avance de ejecución</t>
  </si>
  <si>
    <t>Tasa de aprobación (sobre ejecutados)</t>
  </si>
  <si>
    <t>Defectos registrados</t>
  </si>
  <si>
    <t>Defectos abiertos</t>
  </si>
  <si>
    <t>Cobertura por área</t>
  </si>
  <si>
    <t>Área</t>
  </si>
  <si>
    <t>Total</t>
  </si>
  <si>
    <t>% aprobado</t>
  </si>
  <si>
    <t>Base de datos</t>
  </si>
  <si>
    <t>Backend y DAO</t>
  </si>
  <si>
    <t>API REST</t>
  </si>
  <si>
    <t>Swagger</t>
  </si>
  <si>
    <t>Frontend MVC</t>
  </si>
  <si>
    <t>Integración</t>
  </si>
  <si>
    <t>Repositorio y entrega</t>
  </si>
  <si>
    <t>Guía de uso</t>
  </si>
  <si>
    <t>Celdas editables</t>
  </si>
  <si>
    <t>Las celdas con fondo amarillo claro se llenan al ejecutar cada caso: Estado, Resultado obtenido, Evidencia, Fecha, Responsable y Observaciones. Todos los totales de esta hoja se calculan solos.</t>
  </si>
  <si>
    <t>Estados</t>
  </si>
  <si>
    <t>Pendiente (valor inicial), Aprobado, Fallido, Bloqueado (no se pudo ejecutar por un impedimento) y No aplica (el caso no corresponde a la entrega).</t>
  </si>
  <si>
    <t>Ejemplo de llenado</t>
  </si>
  <si>
    <t>Resultado obtenido: HTTP 201, cabecera Location presente y registro visible en la base de datos. Estado: Aprobado. Evidencia: EV-API-PER-04.png. Fecha: 27/10/2026.</t>
  </si>
  <si>
    <t>Casos fallidos</t>
  </si>
  <si>
    <t>Registrar el defecto en la hoja Defectos con identificador DEF-01, DEF-02, etc., indicando el caso asociado. La fila EJEMPLO no se cuenta en los indicadores.</t>
  </si>
  <si>
    <t>Origen de los requisitos</t>
  </si>
  <si>
    <t>El enunciado formal del laboratorio no estuvo disponible. Los requisitos R01 a R12 se derivaron del reparto de roles, el documento del laboratorio, las diapositivas 8.1 y 8.2 y el DDL original en MySQL. Conviene compararlos con el enunciado oficial y ajustar la hoja Requisitos si hay diferencias.</t>
  </si>
  <si>
    <t>Datos de prueba</t>
  </si>
  <si>
    <t>Los casos que hablan de registros existentes usan los datos del DML entregado por el equipo. Si el DML cambia, deben ajustarse las claves usadas en las pruebas.</t>
  </si>
  <si>
    <t>ID</t>
  </si>
  <si>
    <t>Requisito</t>
  </si>
  <si>
    <t>Fuente</t>
  </si>
  <si>
    <t>Responsable</t>
  </si>
  <si>
    <t>Casos asociados</t>
  </si>
  <si>
    <t>Cobertura</t>
  </si>
  <si>
    <t>R01</t>
  </si>
  <si>
    <t>Adaptar el modelo MySQL a SQL Server: 4 tablas (persona, telefono, profesion, estudios) con claves y relaciones (DDL).</t>
  </si>
  <si>
    <t>Reparto de roles, ítem 1; script persona_ddl_mysql.sql</t>
  </si>
  <si>
    <t>Tomás</t>
  </si>
  <si>
    <t>R02</t>
  </si>
  <si>
    <t>Preparar el DML con datos de prueba para las 4 tablas.</t>
  </si>
  <si>
    <t>Reparto de roles, ítem 1</t>
  </si>
  <si>
    <t>R03</t>
  </si>
  <si>
    <t>Configurar .NET y Entity Framework (Database First) con la cadena de conexión a SQL Server.</t>
  </si>
  <si>
    <t>Reparto de roles, ítem 2; diapositivas 8.1 y 8.2</t>
  </si>
  <si>
    <t>R04</t>
  </si>
  <si>
    <t>Desarrollar las interfaces y los repositorios DAO para las 4 entidades.</t>
  </si>
  <si>
    <t>Reparto de roles, ítem 2; documento del laboratorio, sec. 1.3</t>
  </si>
  <si>
    <t>R05</t>
  </si>
  <si>
    <t>Exponer una API REST con operaciones CRUD (GET, POST, PUT, DELETE) para las 4 entidades.</t>
  </si>
  <si>
    <t>Reparto de roles, ítem 3; documento del laboratorio, sec. 1.5</t>
  </si>
  <si>
    <t>R06</t>
  </si>
  <si>
    <t>Integrar Swagger para documentar y probar los endpoints.</t>
  </si>
  <si>
    <t>Reparto de roles, ítem 3</t>
  </si>
  <si>
    <t>R07</t>
  </si>
  <si>
    <t>Crear vistas y controladores MVC para consultar, registrar, editar y eliminar información de las 4 entidades.</t>
  </si>
  <si>
    <t>Reparto de roles, ítem 4; diapositivas 8.1 y 8.2</t>
  </si>
  <si>
    <t>Andrés</t>
  </si>
  <si>
    <t>R08</t>
  </si>
  <si>
    <t>Conectar las vistas con el backend (DAO y base de datos).</t>
  </si>
  <si>
    <t>Reparto de roles, ítem 5</t>
  </si>
  <si>
    <t>R09</t>
  </si>
  <si>
    <t>Respetar las relaciones entre tablas y las validaciones (p. ej. no guardar un teléfono de una persona inexistente).</t>
  </si>
  <si>
    <t>Documento del laboratorio, sec. 1.4 y 2.1</t>
  </si>
  <si>
    <t>Equipo</t>
  </si>
  <si>
    <t>R10</t>
  </si>
  <si>
    <t>Repositorio público personapi-dotnet con README, instrucciones de despliegue y TAG de entrega.</t>
  </si>
  <si>
    <t>Documento del laboratorio, sec. 3.8</t>
  </si>
  <si>
    <t>R11</t>
  </si>
  <si>
    <t>Documento del laboratorio con marco conceptual, diseño de la arquitectura, procedimiento, pruebas y evidencias.</t>
  </si>
  <si>
    <t>Reparto de roles, ítems 6 y 9</t>
  </si>
  <si>
    <t>Andrés / Santiago</t>
  </si>
  <si>
    <t>R12</t>
  </si>
  <si>
    <t>Cumplir las restricciones tecnológicas: ASP.NET Core MVC en .NET, Entity Framework Core y SQL Server.</t>
  </si>
  <si>
    <t>Documento del laboratorio, sec. 2.2 y 3.1</t>
  </si>
  <si>
    <t>Req.</t>
  </si>
  <si>
    <t>Entidad</t>
  </si>
  <si>
    <t>Tipo</t>
  </si>
  <si>
    <t>Prioridad</t>
  </si>
  <si>
    <t>Descripción</t>
  </si>
  <si>
    <t>Precondición</t>
  </si>
  <si>
    <t>Pasos y datos de entrada</t>
  </si>
  <si>
    <t>Resultado esperado</t>
  </si>
  <si>
    <t>Estado</t>
  </si>
  <si>
    <t>Resultado obtenido</t>
  </si>
  <si>
    <t>Evidencia</t>
  </si>
  <si>
    <t>Fecha</t>
  </si>
  <si>
    <t>Observaciones</t>
  </si>
  <si>
    <t>BD-01</t>
  </si>
  <si>
    <t>General</t>
  </si>
  <si>
    <t>Funcional</t>
  </si>
  <si>
    <t>Alta</t>
  </si>
  <si>
    <t>Ejecución del DDL en una instancia limpia.</t>
  </si>
  <si>
    <t>SQL Server disponible y sin la base persona_db.</t>
  </si>
  <si>
    <t>Ejecutar el script DDL completo.</t>
  </si>
  <si>
    <t>El script termina sin errores y crea la base persona_db.</t>
  </si>
  <si>
    <t>Pendiente</t>
  </si>
  <si>
    <t>BD-02</t>
  </si>
  <si>
    <t>Existencia de las 4 tablas del modelo.</t>
  </si>
  <si>
    <t>DDL ejecutado.</t>
  </si>
  <si>
    <t>Consultar INFORMATION_SCHEMA.TABLES de persona_db.</t>
  </si>
  <si>
    <t>Existen persona, telefono, profesion y estudios.</t>
  </si>
  <si>
    <t>BD-03</t>
  </si>
  <si>
    <t>Columnas y tipos equivalentes al modelo MySQL.</t>
  </si>
  <si>
    <t>Comparar columnas contra el modelo: persona(cc, nombre, apellido, genero, edad), telefono(num, oper, duenio), profesion(id, nom, des), estudios(id_prof, cc_per, fecha, univer).</t>
  </si>
  <si>
    <t>Todas las columnas existen con tipo equivalente; genero restringido a M o F; des admite texto largo; fecha es de tipo fecha.</t>
  </si>
  <si>
    <t>BD-04</t>
  </si>
  <si>
    <t>Claves primarias del modelo.</t>
  </si>
  <si>
    <t>Consultar las restricciones PRIMARY KEY de cada tabla.</t>
  </si>
  <si>
    <t>persona(cc), profesion(id), telefono(num) y estudios(id_prof, cc_per) como clave compuesta.</t>
  </si>
  <si>
    <t>BD-05</t>
  </si>
  <si>
    <t>Telefono</t>
  </si>
  <si>
    <t>Clave foránea telefono.duenio hacia persona.cc.</t>
  </si>
  <si>
    <t>Consultar las claves foráneas de telefono.</t>
  </si>
  <si>
    <t>Existe la relación de telefono.duenio con persona.cc.</t>
  </si>
  <si>
    <t>BD-06</t>
  </si>
  <si>
    <t>Estudio</t>
  </si>
  <si>
    <t>Claves foráneas de estudios hacia persona y profesion.</t>
  </si>
  <si>
    <t>Consultar las claves foráneas de estudios.</t>
  </si>
  <si>
    <t>estudios.cc_per referencia persona.cc y estudios.id_prof referencia profesion.id.</t>
  </si>
  <si>
    <t>BD-07</t>
  </si>
  <si>
    <t>Compatibilidad</t>
  </si>
  <si>
    <t>Media</t>
  </si>
  <si>
    <t>Ejecución del DDL en distintos entornos de SQL Server (Express, LocalDB, Docker).</t>
  </si>
  <si>
    <t>Al menos dos entornos disponibles.</t>
  </si>
  <si>
    <t>Ejecutar el mismo script DDL, sin modificarlo, en cada entorno.</t>
  </si>
  <si>
    <t>El script se ejecuta sin cambios manuales en cada entorno; si requiere ajustes, quedan documentados en el README.</t>
  </si>
  <si>
    <t>BD-08</t>
  </si>
  <si>
    <t>Re-ejecución del DDL con datos ya cargados.</t>
  </si>
  <si>
    <t>DDL y DML ejecutados.</t>
  </si>
  <si>
    <t>Ejecutar de nuevo el DDL y consultar el contenido de las tablas.</t>
  </si>
  <si>
    <t>El comportamiento (conservar o recrear las tablas) queda documentado y el DML permite restaurar los datos de prueba.</t>
  </si>
  <si>
    <t>BD-09</t>
  </si>
  <si>
    <t>Ejecución del DML después del DDL.</t>
  </si>
  <si>
    <t>Ejecutar el script DML completo.</t>
  </si>
  <si>
    <t>El script termina sin errores y no viola ninguna restricción.</t>
  </si>
  <si>
    <t>BD-10</t>
  </si>
  <si>
    <t>Datos de prueba presentes en las 4 tablas.</t>
  </si>
  <si>
    <t>DML ejecutado.</t>
  </si>
  <si>
    <t>Ejecutar SELECT COUNT(*) en cada tabla.</t>
  </si>
  <si>
    <t>Las 4 tablas contienen registros y las cantidades coinciden con las del DML entregado.</t>
  </si>
  <si>
    <t>BD-11</t>
  </si>
  <si>
    <t>Integridad</t>
  </si>
  <si>
    <t>Ausencia de registros huérfanos tras el DML.</t>
  </si>
  <si>
    <t>Buscar con LEFT JOIN teléfonos sin persona y estudios sin persona o profesión.</t>
  </si>
  <si>
    <t>No existen teléfonos ni estudios huérfanos.</t>
  </si>
  <si>
    <t>BD-12</t>
  </si>
  <si>
    <t>Persona</t>
  </si>
  <si>
    <t>Negativa</t>
  </si>
  <si>
    <t>Campos obligatorios de persona.</t>
  </si>
  <si>
    <t>Insertar personas omitiendo nombre, apellido o genero, una a la vez.</t>
  </si>
  <si>
    <t>Cada inserción es rechazada por la restricción NOT NULL.</t>
  </si>
  <si>
    <t>BD-13</t>
  </si>
  <si>
    <t>Restricción del campo genero.</t>
  </si>
  <si>
    <t>Insertar una persona con genero 'X'; luego una con 'M' y otra con 'F'.</t>
  </si>
  <si>
    <t>'X' es rechazado; 'M' y 'F' son aceptados.</t>
  </si>
  <si>
    <t>BD-14</t>
  </si>
  <si>
    <t>Límite</t>
  </si>
  <si>
    <t>Campo edad opcional y sin valores negativos.</t>
  </si>
  <si>
    <t>Insertar una persona con edad NULL y otra con edad -1.</t>
  </si>
  <si>
    <t>La edad NULL es aceptada; la edad negativa es rechazada.</t>
  </si>
  <si>
    <t>BD-15</t>
  </si>
  <si>
    <t>Claves primarias duplicadas.</t>
  </si>
  <si>
    <t>Insertar un registro con la misma clave de uno existente en persona, telefono y profesion.</t>
  </si>
  <si>
    <t>Cada inserción es rechazada por violación de clave primaria.</t>
  </si>
  <si>
    <t>BD-16</t>
  </si>
  <si>
    <t>Teléfono asociado a una persona inexistente.</t>
  </si>
  <si>
    <t>Insertar un teléfono con duenio que no existe en persona.</t>
  </si>
  <si>
    <t>La inserción es rechazada por la clave foránea.</t>
  </si>
  <si>
    <t>BD-17</t>
  </si>
  <si>
    <t>Estudio asociado a persona o profesión inexistente.</t>
  </si>
  <si>
    <t>Insertar un estudio con cc_per inexistente y otro con id_prof inexistente.</t>
  </si>
  <si>
    <t>Ambas inserciones son rechazadas por las claves foráneas.</t>
  </si>
  <si>
    <t>BD-18</t>
  </si>
  <si>
    <t>Clave primaria compuesta de estudios.</t>
  </si>
  <si>
    <t>Insertar un estudio con el par (id_prof, cc_per) ya existente; luego una persona con otra profesión y otra persona con la misma profesión.</t>
  </si>
  <si>
    <t>El par duplicado es rechazado; las combinaciones nuevas son aceptadas.</t>
  </si>
  <si>
    <t>BD-19</t>
  </si>
  <si>
    <t>Eliminación de una persona con teléfonos o estudios asociados.</t>
  </si>
  <si>
    <t>Ejecutar DELETE sobre una persona que tiene teléfonos y estudios.</t>
  </si>
  <si>
    <t>La eliminación es rechazada por la clave foránea y los datos permanecen.</t>
  </si>
  <si>
    <t>BD-20</t>
  </si>
  <si>
    <t>Profesion</t>
  </si>
  <si>
    <t>Eliminación de una profesión con estudios asociados.</t>
  </si>
  <si>
    <t>Ejecutar DELETE sobre una profesión referenciada en estudios.</t>
  </si>
  <si>
    <t>La eliminación es rechazada por la clave foránea.</t>
  </si>
  <si>
    <t>BD-21</t>
  </si>
  <si>
    <t>Eliminación de registros sin dependientes.</t>
  </si>
  <si>
    <t>Crear y eliminar un teléfono, un estudio, una profesión sin estudios y una persona sin dependientes.</t>
  </si>
  <si>
    <t>Todas las eliminaciones se ejecutan correctamente.</t>
  </si>
  <si>
    <t>BD-22</t>
  </si>
  <si>
    <t>Longitudes máximas de los campos de texto.</t>
  </si>
  <si>
    <t>Insertar valores de longitud máxima y máxima + 1 en nombre (45), apellido (45), nom (90), univer (50), num (15) y oper (45).</t>
  </si>
  <si>
    <t>La longitud máxima es aceptada; el exceso es rechazado y no se trunca en silencio.</t>
  </si>
  <si>
    <t>BD-23</t>
  </si>
  <si>
    <t>Almacenamiento de tildes, ñ y otros caracteres del español.</t>
  </si>
  <si>
    <t>Insertar y consultar nombres como 'José Muñoz' y 'Ángela Peña'.</t>
  </si>
  <si>
    <t>Los caracteres se guardan y se leen sin alteración.</t>
  </si>
  <si>
    <t>BD-24</t>
  </si>
  <si>
    <t>Rango numérico de la cédula (cc).</t>
  </si>
  <si>
    <t>Insertar cc = 2147483647 y cc = 2147483648; consultar el tipo de dato y evaluar si cubre cédulas de 10 dígitos.</t>
  </si>
  <si>
    <t>El límite del tipo de dato queda verificado y, si no cubre las cédulas esperadas, se registra como observación del modelo.</t>
  </si>
  <si>
    <t>BD-25</t>
  </si>
  <si>
    <t>Baja</t>
  </si>
  <si>
    <t>Validez de la fecha en estudios.</t>
  </si>
  <si>
    <t>Insertar fechas válidas, NULL y una fecha imposible (31 de febrero).</t>
  </si>
  <si>
    <t>Las fechas válidas y NULL son aceptadas; la fecha imposible es rechazada.</t>
  </si>
  <si>
    <t>BK-01</t>
  </si>
  <si>
    <t>Revisión</t>
  </si>
  <si>
    <t>Versión de .NET y paquetes de Entity Framework Core.</t>
  </si>
  <si>
    <t>Código fuente disponible.</t>
  </si>
  <si>
    <t>Revisar el archivo del proyecto (TargetFramework y paquetes).</t>
  </si>
  <si>
    <t>El proyecto usa ASP.NET Core MVC y Entity Framework Core con SQL Server; la versión de .NET queda justificada frente al enunciado.</t>
  </si>
  <si>
    <t>BK-02</t>
  </si>
  <si>
    <t>Compilación de la solución.</t>
  </si>
  <si>
    <t>SDK de .NET instalado.</t>
  </si>
  <si>
    <t>Ejecutar dotnet build sobre la solución.</t>
  </si>
  <si>
    <t>La compilación termina con 0 errores; las advertencias quedan registradas.</t>
  </si>
  <si>
    <t>BK-03</t>
  </si>
  <si>
    <t>Arranque de la aplicación y conexión a la base de datos.</t>
  </si>
  <si>
    <t>Base de datos creada y cadena de conexión configurada.</t>
  </si>
  <si>
    <t>Ejecutar la aplicación y abrir la página de inicio y un listado.</t>
  </si>
  <si>
    <t>La aplicación inicia, se conecta a persona_db y muestra datos.</t>
  </si>
  <si>
    <t>BK-04</t>
  </si>
  <si>
    <t>Mapeo de las 4 entidades en el contexto de Entity Framework.</t>
  </si>
  <si>
    <t>Revisar el DbContext y las clases de entidad generadas (Database First).</t>
  </si>
  <si>
    <t>Las 4 entidades están mapeadas, con la clave compuesta en estudios y las relaciones definidas.</t>
  </si>
  <si>
    <t>BK-05</t>
  </si>
  <si>
    <t>Configuración</t>
  </si>
  <si>
    <t>Cadena de conexión sobrescribible sin editar el código.</t>
  </si>
  <si>
    <t>Aplicación compilada.</t>
  </si>
  <si>
    <t>Definir la cadena de conexión mediante variable de entorno o archivo de configuración local y ejecutar.</t>
  </si>
  <si>
    <t>La aplicación usa la cadena indicada y no es necesario modificar el código fuente.</t>
  </si>
  <si>
    <t>BK-06</t>
  </si>
  <si>
    <t>Una interfaz DAO por entidad con sus operaciones.</t>
  </si>
  <si>
    <t>Revisar las interfaces de persona, telefono, profesion y estudios.</t>
  </si>
  <si>
    <t>Cada interfaz declara las operaciones de consultar todos, consultar uno, verificar existencia, crear, actualizar y eliminar.</t>
  </si>
  <si>
    <t>BK-07</t>
  </si>
  <si>
    <t>Repositorios que implementan las interfaces y se inyectan por dependencias.</t>
  </si>
  <si>
    <t>Revisar las clases de repositorio y el registro de servicios al iniciar la aplicación.</t>
  </si>
  <si>
    <t>Existe un repositorio por interfaz, registrado en la inyección de dependencias.</t>
  </si>
  <si>
    <t>BK-08</t>
  </si>
  <si>
    <t>Los controladores no acceden directamente al DbContext.</t>
  </si>
  <si>
    <t>Buscar referencias al DbContext en controladores MVC y REST.</t>
  </si>
  <si>
    <t>Los controladores dependen de las interfaces DAO y no del DbContext.</t>
  </si>
  <si>
    <t>BK-09</t>
  </si>
  <si>
    <t>Comportamiento con SQL Server no disponible.</t>
  </si>
  <si>
    <t>Aplicación en ejecución.</t>
  </si>
  <si>
    <t>Detener SQL Server y solicitar un listado en la vista y en la API.</t>
  </si>
  <si>
    <t>La aplicación responde con un error controlado, sin mostrar detalles internos ni credenciales.</t>
  </si>
  <si>
    <t>API-PER-01</t>
  </si>
  <si>
    <t>Consultar el listado de personas.</t>
  </si>
  <si>
    <t>API en ejecución con datos de prueba.</t>
  </si>
  <si>
    <t>GET /api/personas.</t>
  </si>
  <si>
    <t>Responde 200 con un arreglo JSON cuya cantidad coincide con las filas de la tabla.</t>
  </si>
  <si>
    <t>API-PER-02</t>
  </si>
  <si>
    <t>Consultar una persona existente por su clave (cc).</t>
  </si>
  <si>
    <t>Registro existente.</t>
  </si>
  <si>
    <t>GET /api/personas/{clave}.</t>
  </si>
  <si>
    <t>Responde 200 con el objeto y todos sus campos.</t>
  </si>
  <si>
    <t>API-PER-03</t>
  </si>
  <si>
    <t>Consultar un registro inexistente.</t>
  </si>
  <si>
    <t>Clave que no existe en la tabla.</t>
  </si>
  <si>
    <t>GET /api/personas/{clave inexistente}.</t>
  </si>
  <si>
    <t>Responde 404.</t>
  </si>
  <si>
    <t>API-PER-04</t>
  </si>
  <si>
    <t>Crear una persona nueva.</t>
  </si>
  <si>
    <t>Clave libre y referencias válidas.</t>
  </si>
  <si>
    <t>POST /api/personas con el cuerpo {cc, nombre, apellido, genero, edad} válido.</t>
  </si>
  <si>
    <t>Responde 201 con la ubicación del nuevo recurso; el registro queda guardado en la base de datos.</t>
  </si>
  <si>
    <t>API-PER-05</t>
  </si>
  <si>
    <t>Crear con una clave duplicada.</t>
  </si>
  <si>
    <t>POST /api/personas con la misma clave de un registro existente.</t>
  </si>
  <si>
    <t>Responde 409 y no se modifica el registro original.</t>
  </si>
  <si>
    <t>API-PER-06</t>
  </si>
  <si>
    <t>Crear con datos inválidos.</t>
  </si>
  <si>
    <t>API en ejecución.</t>
  </si>
  <si>
    <t>POST /api/personas probando por separado: nombre vacío, genero distinto de M o F, edad fuera de 0 a 150, cc menor o igual a 0.</t>
  </si>
  <si>
    <t>Cada caso responde 400 con el detalle de la validación y no se inserta nada.</t>
  </si>
  <si>
    <t>API-PER-07</t>
  </si>
  <si>
    <t>Actualizar un registro existente.</t>
  </si>
  <si>
    <t>PUT /api/personas/{clave} con campos modificados y la misma clave en el cuerpo; luego GET del registro.</t>
  </si>
  <si>
    <t>Responde 204 y el GET posterior muestra los cambios.</t>
  </si>
  <si>
    <t>API-PER-08</t>
  </si>
  <si>
    <t>Actualizar con la clave de la ruta distinta a la del cuerpo.</t>
  </si>
  <si>
    <t>PUT /api/personas/{clave A} con el cuerpo de la clave B.</t>
  </si>
  <si>
    <t>Responde 400 y no se modifica ningún registro.</t>
  </si>
  <si>
    <t>API-PER-09</t>
  </si>
  <si>
    <t>Actualizar un registro inexistente.</t>
  </si>
  <si>
    <t>PUT /api/personas/{clave inexistente} con cuerpo válido.</t>
  </si>
  <si>
    <t>API-PER-10</t>
  </si>
  <si>
    <t>Eliminar un registro sin dependencias.</t>
  </si>
  <si>
    <t>Registro creado para la prueba y sin dependientes.</t>
  </si>
  <si>
    <t>DELETE /api/personas/{clave}; luego GET del mismo recurso.</t>
  </si>
  <si>
    <t>El DELETE responde 204 y el GET posterior responde 404.</t>
  </si>
  <si>
    <t>API-PER-11</t>
  </si>
  <si>
    <t>Eliminar un registro inexistente.</t>
  </si>
  <si>
    <t>DELETE /api/personas/{clave inexistente}.</t>
  </si>
  <si>
    <t>API-PER-12</t>
  </si>
  <si>
    <t>Eliminar una persona con teléfonos o estudios asociados.</t>
  </si>
  <si>
    <t>Registro con dependientes.</t>
  </si>
  <si>
    <t>DELETE /api/personas/{clave}.</t>
  </si>
  <si>
    <t>Responde 409 con un mensaje claro y el registro y sus dependientes permanecen.</t>
  </si>
  <si>
    <t>API-PER-13</t>
  </si>
  <si>
    <t>Edad opcional y valores límite.</t>
  </si>
  <si>
    <t>POST con edad ausente, edad 0 y edad 150.</t>
  </si>
  <si>
    <t>Los tres casos responden 201; edad 151 responde 400.</t>
  </si>
  <si>
    <t>API-TEL-01</t>
  </si>
  <si>
    <t>Consultar el listado de telefonos.</t>
  </si>
  <si>
    <t>GET /api/telefonos.</t>
  </si>
  <si>
    <t>API-TEL-02</t>
  </si>
  <si>
    <t>Consultar un teléfono existente por su clave (num).</t>
  </si>
  <si>
    <t>GET /api/telefonos/{clave}.</t>
  </si>
  <si>
    <t>API-TEL-03</t>
  </si>
  <si>
    <t>GET /api/telefonos/{clave inexistente}.</t>
  </si>
  <si>
    <t>API-TEL-04</t>
  </si>
  <si>
    <t>Crear un teléfono nuevo.</t>
  </si>
  <si>
    <t>POST /api/telefonos con el cuerpo {num, oper, duenio} válido.</t>
  </si>
  <si>
    <t>API-TEL-05</t>
  </si>
  <si>
    <t>POST /api/telefonos con la misma clave de un registro existente.</t>
  </si>
  <si>
    <t>API-TEL-06</t>
  </si>
  <si>
    <t>POST /api/telefonos probando por separado: num vacío o de más de 15 caracteres, oper vacío, duenio menor o igual a 0.</t>
  </si>
  <si>
    <t>API-TEL-07</t>
  </si>
  <si>
    <t>Crear con una referencia inexistente.</t>
  </si>
  <si>
    <t>POST /api/telefonos con duenio que no corresponde a ninguna persona.</t>
  </si>
  <si>
    <t>Responde 400 con un mensaje claro y no se inserta nada.</t>
  </si>
  <si>
    <t>API-TEL-08</t>
  </si>
  <si>
    <t>PUT /api/telefonos/{clave} con campos modificados y la misma clave en el cuerpo; luego GET del registro.</t>
  </si>
  <si>
    <t>API-TEL-09</t>
  </si>
  <si>
    <t>PUT /api/telefonos/{clave A} con el cuerpo de la clave B.</t>
  </si>
  <si>
    <t>API-TEL-10</t>
  </si>
  <si>
    <t>PUT /api/telefonos/{clave inexistente} con cuerpo válido.</t>
  </si>
  <si>
    <t>API-TEL-11</t>
  </si>
  <si>
    <t>DELETE /api/telefonos/{clave}; luego GET del mismo recurso.</t>
  </si>
  <si>
    <t>API-TEL-12</t>
  </si>
  <si>
    <t>DELETE /api/telefonos/{clave inexistente}.</t>
  </si>
  <si>
    <t>API-TEL-13</t>
  </si>
  <si>
    <t>Una persona con varios teléfonos.</t>
  </si>
  <si>
    <t>POST de dos teléfonos distintos con el mismo duenio.</t>
  </si>
  <si>
    <t>Ambos responden 201 y ambos aparecen asociados a la misma persona.</t>
  </si>
  <si>
    <t>API-TEL-14</t>
  </si>
  <si>
    <t>Cambio de dueño a una persona inexistente.</t>
  </si>
  <si>
    <t>PUT de un teléfono existente con un duenio que no existe.</t>
  </si>
  <si>
    <t>Responde 400 y el teléfono conserva su dueño original.</t>
  </si>
  <si>
    <t>API-TEL-15</t>
  </si>
  <si>
    <t>Formato del número de teléfono.</t>
  </si>
  <si>
    <t>POST con num de 10 dígitos, num con letras y num de 16 caracteres.</t>
  </si>
  <si>
    <t>El número de 10 dígitos responde 201; el de 16 caracteres responde 400; el comportamiento con letras queda documentado.</t>
  </si>
  <si>
    <t>API-PRO-01</t>
  </si>
  <si>
    <t>Consultar el listado de profesions.</t>
  </si>
  <si>
    <t>GET /api/profesiones.</t>
  </si>
  <si>
    <t>API-PRO-02</t>
  </si>
  <si>
    <t>Consultar una profesión existente por su clave (id).</t>
  </si>
  <si>
    <t>GET /api/profesiones/{clave}.</t>
  </si>
  <si>
    <t>API-PRO-03</t>
  </si>
  <si>
    <t>GET /api/profesiones/{clave inexistente}.</t>
  </si>
  <si>
    <t>API-PRO-04</t>
  </si>
  <si>
    <t>Crear una profesión nueva.</t>
  </si>
  <si>
    <t>POST /api/profesiones con el cuerpo {id, nom, des} válido.</t>
  </si>
  <si>
    <t>API-PRO-05</t>
  </si>
  <si>
    <t>POST /api/profesiones con la misma clave de un registro existente.</t>
  </si>
  <si>
    <t>API-PRO-06</t>
  </si>
  <si>
    <t>POST /api/profesiones probando por separado: nom vacío o de más de 90 caracteres, id menor o igual a 0.</t>
  </si>
  <si>
    <t>API-PRO-07</t>
  </si>
  <si>
    <t>PUT /api/profesiones/{clave} con campos modificados y la misma clave en el cuerpo; luego GET del registro.</t>
  </si>
  <si>
    <t>API-PRO-08</t>
  </si>
  <si>
    <t>PUT /api/profesiones/{clave A} con el cuerpo de la clave B.</t>
  </si>
  <si>
    <t>API-PRO-09</t>
  </si>
  <si>
    <t>PUT /api/profesiones/{clave inexistente} con cuerpo válido.</t>
  </si>
  <si>
    <t>API-PRO-10</t>
  </si>
  <si>
    <t>DELETE /api/profesiones/{clave}; luego GET del mismo recurso.</t>
  </si>
  <si>
    <t>API-PRO-11</t>
  </si>
  <si>
    <t>DELETE /api/profesiones/{clave inexistente}.</t>
  </si>
  <si>
    <t>API-PRO-12</t>
  </si>
  <si>
    <t>Eliminar una profesión con estudios asociados.</t>
  </si>
  <si>
    <t>DELETE /api/profesiones/{clave}.</t>
  </si>
  <si>
    <t>API-PRO-13</t>
  </si>
  <si>
    <t>Descripción opcional.</t>
  </si>
  <si>
    <t>POST sin el campo des y otro con una descripción larga.</t>
  </si>
  <si>
    <t>Ambos responden 201 y la descripción se conserva completa.</t>
  </si>
  <si>
    <t>API-EST-01</t>
  </si>
  <si>
    <t>Consultar el listado de estudios.</t>
  </si>
  <si>
    <t>GET /api/estudios.</t>
  </si>
  <si>
    <t>API-EST-02</t>
  </si>
  <si>
    <t>Consultar un estudio existente por su clave (idProf/ccPer).</t>
  </si>
  <si>
    <t>GET /api/estudios/{clave}.</t>
  </si>
  <si>
    <t>API-EST-03</t>
  </si>
  <si>
    <t>GET /api/estudios/{clave inexistente}.</t>
  </si>
  <si>
    <t>API-EST-04</t>
  </si>
  <si>
    <t>Crear un estudio nuevo.</t>
  </si>
  <si>
    <t>POST /api/estudios con el cuerpo {idProf, ccPer, fecha, univer} válido.</t>
  </si>
  <si>
    <t>API-EST-05</t>
  </si>
  <si>
    <t>POST /api/estudios con la misma clave de un registro existente.</t>
  </si>
  <si>
    <t>API-EST-06</t>
  </si>
  <si>
    <t>POST /api/estudios probando por separado: univer de más de 50 caracteres, idProf o ccPer menores o iguales a 0, fecha con formato inválido.</t>
  </si>
  <si>
    <t>API-EST-07</t>
  </si>
  <si>
    <t>POST /api/estudios con idProf sin profesión o ccPer sin persona.</t>
  </si>
  <si>
    <t>API-EST-08</t>
  </si>
  <si>
    <t>PUT /api/estudios/{clave} con campos modificados y la misma clave en el cuerpo; luego GET del registro.</t>
  </si>
  <si>
    <t>API-EST-09</t>
  </si>
  <si>
    <t>PUT /api/estudios/{clave A} con el cuerpo de la clave B.</t>
  </si>
  <si>
    <t>API-EST-10</t>
  </si>
  <si>
    <t>PUT /api/estudios/{clave inexistente} con cuerpo válido.</t>
  </si>
  <si>
    <t>API-EST-11</t>
  </si>
  <si>
    <t>DELETE /api/estudios/{clave}; luego GET del mismo recurso.</t>
  </si>
  <si>
    <t>API-EST-12</t>
  </si>
  <si>
    <t>DELETE /api/estudios/{clave inexistente}.</t>
  </si>
  <si>
    <t>API-EST-13</t>
  </si>
  <si>
    <t>Clave compuesta: misma persona con otra profesión.</t>
  </si>
  <si>
    <t>POST de un estudio con una persona existente y una profesión distinta a las que ya tiene.</t>
  </si>
  <si>
    <t>Responde 201; la persona queda con varios estudios.</t>
  </si>
  <si>
    <t>API-EST-14</t>
  </si>
  <si>
    <t>Clave compuesta: misma profesión con otra persona.</t>
  </si>
  <si>
    <t>POST de un estudio con una profesión existente y otra persona.</t>
  </si>
  <si>
    <t>Responde 201; la profesión queda asociada a varias personas.</t>
  </si>
  <si>
    <t>API-EST-15</t>
  </si>
  <si>
    <t>Campos fecha y univer opcionales.</t>
  </si>
  <si>
    <t>POST sin fecha ni univer.</t>
  </si>
  <si>
    <t>Responde 201 y los campos quedan vacíos.</t>
  </si>
  <si>
    <t>API-GEN-01</t>
  </si>
  <si>
    <t>Formato JSON de las respuestas.</t>
  </si>
  <si>
    <t>Revisar las cabeceras Content-Type de los GET de las 4 entidades.</t>
  </si>
  <si>
    <t>Todas las respuestas exitosas son application/json.</t>
  </si>
  <si>
    <t>API-GEN-02</t>
  </si>
  <si>
    <t>Cuerpo vacío o JSON mal formado.</t>
  </si>
  <si>
    <t>Enviar POST y PUT con cuerpo vacío y con JSON mal formado a cada recurso.</t>
  </si>
  <si>
    <t>Responde 400 y no se produce un error 500.</t>
  </si>
  <si>
    <t>API-GEN-03</t>
  </si>
  <si>
    <t>Clave de ruta con tipo incorrecto.</t>
  </si>
  <si>
    <t>Solicitar GET /api/personas/abc y GET /api/estudios/1/abc.</t>
  </si>
  <si>
    <t>La API responde con un código 4xx y no con un error 500.</t>
  </si>
  <si>
    <t>API-GEN-04</t>
  </si>
  <si>
    <t>Método HTTP no permitido.</t>
  </si>
  <si>
    <t>Enviar DELETE sobre la colección (por ejemplo DELETE /api/personas).</t>
  </si>
  <si>
    <t>Responde 405.</t>
  </si>
  <si>
    <t>API-GEN-05</t>
  </si>
  <si>
    <t>Concurrencia</t>
  </si>
  <si>
    <t>Dos creaciones simultáneas con la misma clave.</t>
  </si>
  <si>
    <t>Enviar dos POST casi simultáneos con la misma clave a un mismo recurso.</t>
  </si>
  <si>
    <t>Uno responde 201 y el otro 409, sin error 500 y sin registros duplicados.</t>
  </si>
  <si>
    <t>API-GEN-06</t>
  </si>
  <si>
    <t>Persistencia de los cambios hechos por la API.</t>
  </si>
  <si>
    <t>Registro creado por la API.</t>
  </si>
  <si>
    <t>Reiniciar la aplicación y consultar el registro.</t>
  </si>
  <si>
    <t>El registro sigue existiendo en la base de datos.</t>
  </si>
  <si>
    <t>SW-01</t>
  </si>
  <si>
    <t>Acceso a la interfaz de Swagger.</t>
  </si>
  <si>
    <t>Abrir la ruta /swagger en el navegador.</t>
  </si>
  <si>
    <t>La interfaz carga sin errores.</t>
  </si>
  <si>
    <t>SW-02</t>
  </si>
  <si>
    <t>Documentación de los endpoints de las 4 entidades.</t>
  </si>
  <si>
    <t>Swagger cargado.</t>
  </si>
  <si>
    <t>Revisar los recursos listados.</t>
  </si>
  <si>
    <t>Aparecen personas, teléfonos, profesiones y estudios con GET (lista y por clave), POST, PUT y DELETE.</t>
  </si>
  <si>
    <t>SW-03</t>
  </si>
  <si>
    <t>Ejecución de GET desde Swagger (Try it out).</t>
  </si>
  <si>
    <t>Swagger cargado con datos de prueba.</t>
  </si>
  <si>
    <t>Ejecutar GET de la lista y de un registro en cada recurso.</t>
  </si>
  <si>
    <t>Cada solicitud responde con el código y el cuerpo esperados.</t>
  </si>
  <si>
    <t>SW-04</t>
  </si>
  <si>
    <t>Ejecución de POST, PUT y DELETE desde Swagger.</t>
  </si>
  <si>
    <t>Crear, modificar y eliminar un registro de prueba en cada recurso desde la interfaz.</t>
  </si>
  <si>
    <t>Las operaciones funcionan y los cambios se reflejan en la base de datos.</t>
  </si>
  <si>
    <t>SW-05</t>
  </si>
  <si>
    <t>Esquemas de los modelos de datos.</t>
  </si>
  <si>
    <t>Revisar la sección de esquemas.</t>
  </si>
  <si>
    <t>Los modelos muestran todos sus campos, tipos y los campos obligatorios.</t>
  </si>
  <si>
    <t>SW-06</t>
  </si>
  <si>
    <t>Códigos de respuesta documentados.</t>
  </si>
  <si>
    <t>Comparar los códigos documentados de cada operación con los que devuelve la API.</t>
  </si>
  <si>
    <t>Los códigos documentados (200, 201, 204, 400, 404, 409) coinciden con los reales.</t>
  </si>
  <si>
    <t>SW-07</t>
  </si>
  <si>
    <t>Descripción OpenAPI generada.</t>
  </si>
  <si>
    <t>Abrir el documento JSON de OpenAPI (swagger.json) y validarlo.</t>
  </si>
  <si>
    <t>El documento se descarga y es válido.</t>
  </si>
  <si>
    <t>SW-08</t>
  </si>
  <si>
    <t>Alcance de la documentación.</t>
  </si>
  <si>
    <t>Revisar que solo aparezcan los endpoints de la API REST.</t>
  </si>
  <si>
    <t>Las acciones MVC que devuelven vistas no aparecen en Swagger.</t>
  </si>
  <si>
    <t>SW-09</t>
  </si>
  <si>
    <t>Claridad de la documentación para un tercero.</t>
  </si>
  <si>
    <t>Revisar nombres, resúmenes y descripciones de los campos.</t>
  </si>
  <si>
    <t>Una persona ajena al proyecto puede entender y probar la API sin explicación adicional.</t>
  </si>
  <si>
    <t>MVC-PER-01</t>
  </si>
  <si>
    <t>Listado de personas.</t>
  </si>
  <si>
    <t>Aplicación en ejecución con datos de prueba.</t>
  </si>
  <si>
    <t>Abrir el módulo Personas desde el menú.</t>
  </si>
  <si>
    <t>Se listan todos los registros con sus campos (cc, nombre, apellido, genero y edad); sin datos, la pantalla no muestra error.</t>
  </si>
  <si>
    <t>MVC-PER-02</t>
  </si>
  <si>
    <t>Registrar un nuevo registro en personas.</t>
  </si>
  <si>
    <t>Pantalla de listado abierta.</t>
  </si>
  <si>
    <t>Pulsar el botón de crear, completar el formulario con datos válidos y guardar.</t>
  </si>
  <si>
    <t>Se redirige al listado, el registro aparece y queda guardado en la base de datos.</t>
  </si>
  <si>
    <t>MVC-PER-03</t>
  </si>
  <si>
    <t>Validación del formulario de creación.</t>
  </si>
  <si>
    <t>Formulario de creación abierto.</t>
  </si>
  <si>
    <t>Guardar con campos obligatorios vacíos y con valores fuera de rango o de longitud.</t>
  </si>
  <si>
    <t>Se muestran mensajes de validación junto a cada campo y no se guarda nada.</t>
  </si>
  <si>
    <t>MVC-PER-04</t>
  </si>
  <si>
    <t>Creación con clave duplicada.</t>
  </si>
  <si>
    <t>Crear un registro con la misma clave de uno existente.</t>
  </si>
  <si>
    <t>Se muestra un mensaje claro de duplicado, sin error técnico, y no se guarda.</t>
  </si>
  <si>
    <t>MVC-PER-05</t>
  </si>
  <si>
    <t>Pantalla de detalle.</t>
  </si>
  <si>
    <t>Abrir el detalle desde el listado y probar con una clave inexistente en la dirección.</t>
  </si>
  <si>
    <t>El detalle muestra todos los campos; la clave inexistente muestra una página de no encontrado controlada.</t>
  </si>
  <si>
    <t>MVC-PER-06</t>
  </si>
  <si>
    <t>Edición de un registro.</t>
  </si>
  <si>
    <t>Abrir la edición, modificar campos y guardar.</t>
  </si>
  <si>
    <t>El formulario aparece precargado, la clave no es editable, y los cambios se guardan y se ven en el listado.</t>
  </si>
  <si>
    <t>MVC-PER-07</t>
  </si>
  <si>
    <t>Eliminación con confirmación.</t>
  </si>
  <si>
    <t>Registro sin dependencias.</t>
  </si>
  <si>
    <t>Abrir la eliminación; cancelar; repetir y confirmar.</t>
  </si>
  <si>
    <t>Cancelar conserva el registro; confirmar lo elimina y vuelve al listado.</t>
  </si>
  <si>
    <t>MVC-PER-08</t>
  </si>
  <si>
    <t>Eliminación de una persona con teléfonos o estudios.</t>
  </si>
  <si>
    <t>Intentar eliminarlo desde la vista.</t>
  </si>
  <si>
    <t>Se muestra un mensaje claro que explica por qué no se puede eliminar; el registro permanece.</t>
  </si>
  <si>
    <t>MVC-TEL-01</t>
  </si>
  <si>
    <t>Listado de teléfonos.</t>
  </si>
  <si>
    <t>Abrir el módulo Teléfonos desde el menú.</t>
  </si>
  <si>
    <t>Se listan todos los registros con sus campos (num, oper y dueño); sin datos, la pantalla no muestra error.</t>
  </si>
  <si>
    <t>MVC-TEL-02</t>
  </si>
  <si>
    <t>Registrar un nuevo registro en teléfonos.</t>
  </si>
  <si>
    <t>MVC-TEL-03</t>
  </si>
  <si>
    <t>MVC-TEL-04</t>
  </si>
  <si>
    <t>MVC-TEL-05</t>
  </si>
  <si>
    <t>MVC-TEL-06</t>
  </si>
  <si>
    <t>MVC-TEL-07</t>
  </si>
  <si>
    <t>MVC-TEL-08</t>
  </si>
  <si>
    <t>Selección de la persona propietaria.</t>
  </si>
  <si>
    <t>Revisar los selectores y luego enviar el formulario con un valor de relación inexistente alterando el dato enviado.</t>
  </si>
  <si>
    <t>Los selectores muestran las opciones existentes; la referencia inexistente es rechazada con un mensaje claro.</t>
  </si>
  <si>
    <t>MVC-PRO-01</t>
  </si>
  <si>
    <t>Listado de profesiones.</t>
  </si>
  <si>
    <t>Abrir el módulo Profesiones desde el menú.</t>
  </si>
  <si>
    <t>Se listan todos los registros con sus campos (id, nom y des); sin datos, la pantalla no muestra error.</t>
  </si>
  <si>
    <t>MVC-PRO-02</t>
  </si>
  <si>
    <t>Registrar un nuevo registro en profesiones.</t>
  </si>
  <si>
    <t>MVC-PRO-03</t>
  </si>
  <si>
    <t>MVC-PRO-04</t>
  </si>
  <si>
    <t>MVC-PRO-05</t>
  </si>
  <si>
    <t>MVC-PRO-06</t>
  </si>
  <si>
    <t>MVC-PRO-07</t>
  </si>
  <si>
    <t>MVC-PRO-08</t>
  </si>
  <si>
    <t>Eliminación de una profesión con estudios.</t>
  </si>
  <si>
    <t>MVC-EST-01</t>
  </si>
  <si>
    <t>Listado de estudios.</t>
  </si>
  <si>
    <t>Abrir el módulo Estudios desde el menú.</t>
  </si>
  <si>
    <t>Se listan todos los registros con sus campos (persona, profesión, fecha y univer); sin datos, la pantalla no muestra error.</t>
  </si>
  <si>
    <t>MVC-EST-02</t>
  </si>
  <si>
    <t>Registrar un nuevo registro en estudios.</t>
  </si>
  <si>
    <t>MVC-EST-03</t>
  </si>
  <si>
    <t>MVC-EST-04</t>
  </si>
  <si>
    <t>MVC-EST-05</t>
  </si>
  <si>
    <t>MVC-EST-06</t>
  </si>
  <si>
    <t>MVC-EST-07</t>
  </si>
  <si>
    <t>MVC-EST-08</t>
  </si>
  <si>
    <t>Selección de la persona y la profesión.</t>
  </si>
  <si>
    <t>MVC-GEN-01</t>
  </si>
  <si>
    <t>Navegación entre módulos.</t>
  </si>
  <si>
    <t>Usar el menú para ir a Inicio y a los 4 módulos.</t>
  </si>
  <si>
    <t>Todos los enlaces funcionan y no hay páginas rotas.</t>
  </si>
  <si>
    <t>MVC-GEN-02</t>
  </si>
  <si>
    <t>Página de inicio.</t>
  </si>
  <si>
    <t>Abrir la página principal.</t>
  </si>
  <si>
    <t>Se muestra la página de inicio con acceso a los 4 módulos.</t>
  </si>
  <si>
    <t>MVC-GEN-03</t>
  </si>
  <si>
    <t>Consistencia con el diseño de pantallas del equipo.</t>
  </si>
  <si>
    <t>Diseño de las pantallas disponible.</t>
  </si>
  <si>
    <t>Comparar cada pantalla implementada con el diseño.</t>
  </si>
  <si>
    <t>Las pantallas respetan el diseño; las diferencias quedan registradas.</t>
  </si>
  <si>
    <t>MVC-GEN-04</t>
  </si>
  <si>
    <t>Visualización en distintos tamaños de pantalla.</t>
  </si>
  <si>
    <t>Revisar listados y formularios en ancho de escritorio, tableta y móvil.</t>
  </si>
  <si>
    <t>El contenido es legible y utilizable, sin desbordes horizontales.</t>
  </si>
  <si>
    <t>MVC-GEN-05</t>
  </si>
  <si>
    <t>Visualización en distintos navegadores.</t>
  </si>
  <si>
    <t>Repetir un flujo completo en Chrome, Edge y Firefox.</t>
  </si>
  <si>
    <t>El comportamiento es equivalente en los tres navegadores.</t>
  </si>
  <si>
    <t>MVC-GEN-06</t>
  </si>
  <si>
    <t>Seguridad</t>
  </si>
  <si>
    <t>Protección contra falsificación de solicitudes en formularios.</t>
  </si>
  <si>
    <t>Enviar un POST de un formulario sin el token antifalsificación.</t>
  </si>
  <si>
    <t>La solicitud es rechazada y no se modifica ningún dato.</t>
  </si>
  <si>
    <t>MVC-GEN-07</t>
  </si>
  <si>
    <t>Dirección inexistente.</t>
  </si>
  <si>
    <t>Abrir una ruta que no existe.</t>
  </si>
  <si>
    <t>Se muestra una página de error controlada, sin detalles técnicos.</t>
  </si>
  <si>
    <t>MVC-GEN-08</t>
  </si>
  <si>
    <t>Validación del lado del cliente.</t>
  </si>
  <si>
    <t>Formularios abiertos.</t>
  </si>
  <si>
    <t>Dejar campos inválidos y observar la validación antes de enviar.</t>
  </si>
  <si>
    <t>La validación en el navegador es coherente con la del servidor.</t>
  </si>
  <si>
    <t>INT-01</t>
  </si>
  <si>
    <t>Registro creado en la vista visible en la API.</t>
  </si>
  <si>
    <t>Aplicación y API en ejecución.</t>
  </si>
  <si>
    <t>Crear un registro desde la vista y consultarlo con GET en la API.</t>
  </si>
  <si>
    <t>El registro aparece en la API con los mismos datos.</t>
  </si>
  <si>
    <t>INT-02</t>
  </si>
  <si>
    <t>Registro creado en la API visible en la vista.</t>
  </si>
  <si>
    <t>Crear un registro con POST en la API y abrir el listado en la vista.</t>
  </si>
  <si>
    <t>El registro aparece en el listado.</t>
  </si>
  <si>
    <t>INT-03</t>
  </si>
  <si>
    <t>Modificación en la vista reflejada en la API y viceversa.</t>
  </si>
  <si>
    <t>Editar desde la vista y consultar la API; luego editar con PUT y revisar la vista.</t>
  </si>
  <si>
    <t>Ambos lados muestran siempre el dato más reciente.</t>
  </si>
  <si>
    <t>INT-04</t>
  </si>
  <si>
    <t>Eliminación en un canal reflejada en el otro.</t>
  </si>
  <si>
    <t>Registros de prueba sin dependientes.</t>
  </si>
  <si>
    <t>Eliminar uno desde la vista y comprobar con la API; eliminar otro con la API y comprobar en la vista.</t>
  </si>
  <si>
    <t>El registro eliminado desaparece en ambos canales.</t>
  </si>
  <si>
    <t>INT-05</t>
  </si>
  <si>
    <t>Reglas de negocio coherentes entre vista y API.</t>
  </si>
  <si>
    <t>Datos de prueba con dependencias y claves existentes.</t>
  </si>
  <si>
    <t>Repetir en vista y en API los casos de clave duplicada, referencia inexistente y eliminación con dependientes.</t>
  </si>
  <si>
    <t>Ambos canales rechazan los mismos casos; la vista con mensaje y la API con 400 o 409.</t>
  </si>
  <si>
    <t>INT-06</t>
  </si>
  <si>
    <t>Flujo completo de extremo a extremo.</t>
  </si>
  <si>
    <t>Base de datos con datos de prueba.</t>
  </si>
  <si>
    <t>Crear una persona, un teléfono, una profesión y un estudio; consultarlos; luego eliminarlos en orden inverso.</t>
  </si>
  <si>
    <t>Todo el flujo se completa sin errores, respetando las relaciones.</t>
  </si>
  <si>
    <t>INT-07</t>
  </si>
  <si>
    <t>Persistencia tras reiniciar la aplicación.</t>
  </si>
  <si>
    <t>Registros creados desde la vista y la API.</t>
  </si>
  <si>
    <t>Reiniciar la aplicación y revisar listados.</t>
  </si>
  <si>
    <t>Los registros siguen presentes.</t>
  </si>
  <si>
    <t>INT-08</t>
  </si>
  <si>
    <t>Recuperación tras una caída de SQL Server.</t>
  </si>
  <si>
    <t>Detener SQL Server, solicitar un listado, reiniciar SQL Server y solicitar de nuevo.</t>
  </si>
  <si>
    <t>Durante la caída hay un error controlado; al volver el servicio la aplicación funciona sin reiniciarse.</t>
  </si>
  <si>
    <t>ENT-01</t>
  </si>
  <si>
    <t>Repositorio público con el nombre indicado en el enunciado.</t>
  </si>
  <si>
    <t>Acceso a GitHub.</t>
  </si>
  <si>
    <t>Abrir la URL del repositorio sin iniciar sesión.</t>
  </si>
  <si>
    <t>El repositorio personapi-dotnet es público y accesible.</t>
  </si>
  <si>
    <t>ENT-02</t>
  </si>
  <si>
    <t>Colaboradores del grupo con acceso.</t>
  </si>
  <si>
    <t>Revisar los colaboradores y las invitaciones.</t>
  </si>
  <si>
    <t>Los tres integrantes tienen acceso de colaboración aceptado.</t>
  </si>
  <si>
    <t>ENT-03</t>
  </si>
  <si>
    <t>Contenido del README.</t>
  </si>
  <si>
    <t>Repositorio disponible.</t>
  </si>
  <si>
    <t>Leer el README completo.</t>
  </si>
  <si>
    <t>Incluye descripción, requisitos, creación de la base de datos, cadena de conexión, ejecución y rutas de la aplicación y de Swagger.</t>
  </si>
  <si>
    <t>ENT-04</t>
  </si>
  <si>
    <t>Reproducibilidad desde cero siguiendo el README.</t>
  </si>
  <si>
    <t>Equipo sin el proyecto previo.</t>
  </si>
  <si>
    <t>Clonar el repositorio, crear la base de datos con DDL y DML, configurar la conexión y ejecutar.</t>
  </si>
  <si>
    <t>La aplicación y Swagger funcionan siguiendo únicamente el README.</t>
  </si>
  <si>
    <t>ENT-05</t>
  </si>
  <si>
    <t>Archivos que no deben estar en el repositorio.</t>
  </si>
  <si>
    <t>Buscar carpetas de compilación, archivos temporales y credenciales reales.</t>
  </si>
  <si>
    <t>No hay binarios de compilación ni credenciales personales; las contraseñas de ejemplo están documentadas como tales.</t>
  </si>
  <si>
    <t>ENT-06</t>
  </si>
  <si>
    <t>Scripts de base de datos versionados.</t>
  </si>
  <si>
    <t>Verificar que el DDL y el DML del repositorio son los mismos que se probaron.</t>
  </si>
  <si>
    <t>Los scripts del repositorio se ejecutan sin modificaciones locales.</t>
  </si>
  <si>
    <t>ENT-07</t>
  </si>
  <si>
    <t>Integración del trabajo en la rama principal.</t>
  </si>
  <si>
    <t>Pull Request del frontend abierto.</t>
  </si>
  <si>
    <t>Revisar el estado del Pull Request y el contenido de la rama principal.</t>
  </si>
  <si>
    <t>El frontend aprobado por QA está integrado y la rama principal compila y ejecuta.</t>
  </si>
  <si>
    <t>ENT-08</t>
  </si>
  <si>
    <t>Despliegue local de la aplicación publicada.</t>
  </si>
  <si>
    <t>Publicar la aplicación y ejecutar el resultado según el README.</t>
  </si>
  <si>
    <t>La aplicación publicada inicia y responde igual que en desarrollo.</t>
  </si>
  <si>
    <t>ENT-09</t>
  </si>
  <si>
    <t>TAG de entrega.</t>
  </si>
  <si>
    <t>Trabajo integrado y aprobado.</t>
  </si>
  <si>
    <t>Verificar la etiqueta de entrega en el repositorio.</t>
  </si>
  <si>
    <t>Existe el TAG indicado en el enunciado apuntando a la versión final.</t>
  </si>
  <si>
    <t>ENT-10</t>
  </si>
  <si>
    <t>Secciones del documento del laboratorio.</t>
  </si>
  <si>
    <t>Documento disponible.</t>
  </si>
  <si>
    <t>Comparar el documento contra lo solicitado.</t>
  </si>
  <si>
    <t>Incluye marco conceptual, diseño, procedimiento, pruebas con evidencias, conclusiones y referencias.</t>
  </si>
  <si>
    <t>ENT-11</t>
  </si>
  <si>
    <t>Evidencias del documento.</t>
  </si>
  <si>
    <t>Revisar que cada marcador de captura tenga su imagen y que cada figura esté numerada.</t>
  </si>
  <si>
    <t>No quedan marcadores sin completar y todas las evidencias corresponden a pruebas ejecutadas.</t>
  </si>
  <si>
    <t>ENT-12</t>
  </si>
  <si>
    <t>Redacción y formato del documento.</t>
  </si>
  <si>
    <t>Revisar estilos de títulos, ortografía, tercera persona y referencias.</t>
  </si>
  <si>
    <t>El documento tiene formato uniforme, redacción en tercera persona y referencias completas.</t>
  </si>
  <si>
    <t>Caso(s)</t>
  </si>
  <si>
    <t>Descripción del defecto</t>
  </si>
  <si>
    <t>Pasos para reproducir</t>
  </si>
  <si>
    <t>Esperado vs. obtenido</t>
  </si>
  <si>
    <t>Severidad</t>
  </si>
  <si>
    <t>Responsable de corrección</t>
  </si>
  <si>
    <t>EJEMPLO</t>
  </si>
  <si>
    <t>Dos POST simultáneos con la misma cédula devuelven 500 en el segundo.</t>
  </si>
  <si>
    <t>1. Enviar dos POST /api/personas con cc 2001 casi al mismo tiempo.</t>
  </si>
  <si>
    <t>Esperado: 201 y 409. Obtenido: 201 y 500.</t>
  </si>
  <si>
    <t>Abierto</t>
  </si>
  <si>
    <t>EV-API-GEN-05.png</t>
  </si>
  <si>
    <t>Fila de ejemplo: reemplazar o borrar. Los defectos reales usan IDs DEF-01, DEF-02,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</si>
</sst>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8">
    <font>
      <sz val="11"/>
      <color theme="1"/>
      <name val="Calibri"/>
      <family val="2"/>
      <charset val="1"/>
    </font>
    <font>
      <b/>
      <sz val="16"/>
      <color rgb="FF1F2937"/>
      <name val="Arial"/>
      <family val="2"/>
    </font>
    <font>
      <sz val="10"/>
      <color rgb="FF6B7280"/>
      <name val="Arial"/>
      <family val="2"/>
    </font>
    <font>
      <b/>
      <sz val="11"/>
      <color rgb="FF1F293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6B72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FF8DC"/>
        <b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165" fontId="7" fillId="4" borderId="1" xfId="0" applyNumberFormat="1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ont>
        <sz val="10"/>
        <color rgb="FF6B7280"/>
        <name val="Arial"/>
        <charset val="1"/>
      </font>
      <fill>
        <patternFill>
          <bgColor rgb="FFE5E7EB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zoomScaleNormal="100" workbookViewId="0"/>
  </sheetViews>
  <sheetFormatPr defaultColWidth="8.7109375" defaultRowHeight="15"/>
  <cols>
    <col min="1" max="1" width="30" customWidth="1"/>
    <col min="2" max="6" width="14" customWidth="1"/>
    <col min="7" max="7" width="16" customWidth="1"/>
  </cols>
  <sheetData>
    <row r="1" spans="1:2" ht="20.100000000000001">
      <c r="A1" s="2" t="s">
        <v>0</v>
      </c>
    </row>
    <row r="2" spans="1:2">
      <c r="A2" s="3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s="5" t="s">
        <v>4</v>
      </c>
      <c r="B6" s="6">
        <f>COUNTA('Casos de prueba'!$A$2:$A$500)</f>
        <v>165</v>
      </c>
    </row>
    <row r="7" spans="1:2">
      <c r="A7" s="5" t="s">
        <v>5</v>
      </c>
      <c r="B7" s="6">
        <f>COUNTIF('Casos de prueba'!$K$2:$K$500,"Aprobado")</f>
        <v>150</v>
      </c>
    </row>
    <row r="8" spans="1:2">
      <c r="A8" s="5" t="s">
        <v>6</v>
      </c>
      <c r="B8" s="6">
        <f>COUNTIF('Casos de prueba'!$K$2:$K$500,"Fallido")</f>
        <v>13</v>
      </c>
    </row>
    <row r="9" spans="1:2">
      <c r="A9" s="5" t="s">
        <v>7</v>
      </c>
      <c r="B9" s="6">
        <f>COUNTIF('Casos de prueba'!$K$2:$K$500,"Bloqueado")</f>
        <v>2</v>
      </c>
    </row>
    <row r="10" spans="1:2">
      <c r="A10" s="5" t="s">
        <v>8</v>
      </c>
      <c r="B10" s="6">
        <f>COUNTIF('Casos de prueba'!$K$2:$K$500,"Pendiente")</f>
        <v>0</v>
      </c>
    </row>
    <row r="11" spans="1:2">
      <c r="A11" s="5" t="s">
        <v>9</v>
      </c>
      <c r="B11" s="6">
        <f>COUNTIF('Casos de prueba'!$K$2:$K$500,"No aplica")</f>
        <v>0</v>
      </c>
    </row>
    <row r="12" spans="1:2">
      <c r="A12" s="5" t="s">
        <v>10</v>
      </c>
      <c r="B12" s="7">
        <f>IFERROR((B7+B8)/(B6-B11),0)</f>
        <v>0.987878787878788</v>
      </c>
    </row>
    <row r="13" spans="1:2">
      <c r="A13" s="5" t="s">
        <v>11</v>
      </c>
      <c r="B13" s="7">
        <f>IFERROR(B7/(B7+B8),0)</f>
        <v>0.920245398773006</v>
      </c>
    </row>
    <row r="14" spans="1:2">
      <c r="A14" s="5" t="s">
        <v>12</v>
      </c>
      <c r="B14" s="6">
        <f>COUNTIF(Defectos!$A$2:$A$500,"DEF-*")</f>
        <v>11</v>
      </c>
    </row>
    <row r="15" spans="1:2">
      <c r="A15" s="5" t="s">
        <v>13</v>
      </c>
      <c r="B15" s="6">
        <f>COUNTIFS(Defectos!$A$2:$A$500,"DEF-*",Defectos!$J$2:$J$500,"Abierto")+COUNTIFS(Defectos!$A$2:$A$500,"DEF-*",Defectos!$J$2:$J$500,"En corrección")</f>
        <v>2</v>
      </c>
    </row>
    <row r="18" spans="1:7">
      <c r="A18" s="4" t="s">
        <v>14</v>
      </c>
    </row>
    <row r="19" spans="1:7">
      <c r="A19" s="8" t="s">
        <v>15</v>
      </c>
      <c r="B19" s="8" t="s">
        <v>16</v>
      </c>
      <c r="C19" s="8" t="s">
        <v>5</v>
      </c>
      <c r="D19" s="8" t="s">
        <v>6</v>
      </c>
      <c r="E19" s="8" t="s">
        <v>8</v>
      </c>
      <c r="F19" s="8" t="s">
        <v>7</v>
      </c>
      <c r="G19" s="8" t="s">
        <v>17</v>
      </c>
    </row>
    <row r="20" spans="1:7">
      <c r="A20" s="5" t="s">
        <v>18</v>
      </c>
      <c r="B20" s="9">
        <f>COUNTIF('Casos de prueba'!$C$2:$C$500,A20)</f>
        <v>25</v>
      </c>
      <c r="C20" s="9">
        <f>COUNTIFS('Casos de prueba'!$C$2:$C$500,A20,'Casos de prueba'!$K$2:$K$500,"Aprobado")</f>
        <v>23</v>
      </c>
      <c r="D20" s="9">
        <f>COUNTIFS('Casos de prueba'!$C$2:$C$500,A20,'Casos de prueba'!$K$2:$K$500,"Fallido")</f>
        <v>1</v>
      </c>
      <c r="E20" s="9">
        <f>COUNTIFS('Casos de prueba'!$C$2:$C$500,A20,'Casos de prueba'!$K$2:$K$500,"Pendiente")</f>
        <v>0</v>
      </c>
      <c r="F20" s="9">
        <f>COUNTIFS('Casos de prueba'!$C$2:$C$500,A20,'Casos de prueba'!$K$2:$K$500,"Bloqueado")</f>
        <v>1</v>
      </c>
      <c r="G20" s="10">
        <f t="shared" ref="G20:G27" si="0">IFERROR(C20/B20,0)</f>
        <v>0.92</v>
      </c>
    </row>
    <row r="21" spans="1:7">
      <c r="A21" s="5" t="s">
        <v>19</v>
      </c>
      <c r="B21" s="9">
        <f>COUNTIF('Casos de prueba'!$C$2:$C$500,A21)</f>
        <v>9</v>
      </c>
      <c r="C21" s="9">
        <f>COUNTIFS('Casos de prueba'!$C$2:$C$500,A21,'Casos de prueba'!$K$2:$K$500,"Aprobado")</f>
        <v>8</v>
      </c>
      <c r="D21" s="9">
        <f>COUNTIFS('Casos de prueba'!$C$2:$C$500,A21,'Casos de prueba'!$K$2:$K$500,"Fallido")</f>
        <v>1</v>
      </c>
      <c r="E21" s="9">
        <f>COUNTIFS('Casos de prueba'!$C$2:$C$500,A21,'Casos de prueba'!$K$2:$K$500,"Pendiente")</f>
        <v>0</v>
      </c>
      <c r="F21" s="9">
        <f>COUNTIFS('Casos de prueba'!$C$2:$C$500,A21,'Casos de prueba'!$K$2:$K$500,"Bloqueado")</f>
        <v>0</v>
      </c>
      <c r="G21" s="10">
        <f t="shared" si="0"/>
        <v>0.888888888888889</v>
      </c>
    </row>
    <row r="22" spans="1:7">
      <c r="A22" s="5" t="s">
        <v>20</v>
      </c>
      <c r="B22" s="9">
        <f>COUNTIF('Casos de prueba'!$C$2:$C$500,A22)</f>
        <v>62</v>
      </c>
      <c r="C22" s="9">
        <f>COUNTIFS('Casos de prueba'!$C$2:$C$500,A22,'Casos de prueba'!$K$2:$K$500,"Aprobado")</f>
        <v>61</v>
      </c>
      <c r="D22" s="9">
        <f>COUNTIFS('Casos de prueba'!$C$2:$C$500,A22,'Casos de prueba'!$K$2:$K$500,"Fallido")</f>
        <v>1</v>
      </c>
      <c r="E22" s="9">
        <f>COUNTIFS('Casos de prueba'!$C$2:$C$500,A22,'Casos de prueba'!$K$2:$K$500,"Pendiente")</f>
        <v>0</v>
      </c>
      <c r="F22" s="9">
        <f>COUNTIFS('Casos de prueba'!$C$2:$C$500,A22,'Casos de prueba'!$K$2:$K$500,"Bloqueado")</f>
        <v>0</v>
      </c>
      <c r="G22" s="10">
        <f t="shared" si="0"/>
        <v>0.983870967741936</v>
      </c>
    </row>
    <row r="23" spans="1:7">
      <c r="A23" s="5" t="s">
        <v>21</v>
      </c>
      <c r="B23" s="9">
        <f>COUNTIF('Casos de prueba'!$C$2:$C$500,A23)</f>
        <v>9</v>
      </c>
      <c r="C23" s="9">
        <f>COUNTIFS('Casos de prueba'!$C$2:$C$500,A23,'Casos de prueba'!$K$2:$K$500,"Aprobado")</f>
        <v>8</v>
      </c>
      <c r="D23" s="9">
        <f>COUNTIFS('Casos de prueba'!$C$2:$C$500,A23,'Casos de prueba'!$K$2:$K$500,"Fallido")</f>
        <v>1</v>
      </c>
      <c r="E23" s="9">
        <f>COUNTIFS('Casos de prueba'!$C$2:$C$500,A23,'Casos de prueba'!$K$2:$K$500,"Pendiente")</f>
        <v>0</v>
      </c>
      <c r="F23" s="9">
        <f>COUNTIFS('Casos de prueba'!$C$2:$C$500,A23,'Casos de prueba'!$K$2:$K$500,"Bloqueado")</f>
        <v>0</v>
      </c>
      <c r="G23" s="10">
        <f t="shared" si="0"/>
        <v>0.888888888888889</v>
      </c>
    </row>
    <row r="24" spans="1:7">
      <c r="A24" s="5" t="s">
        <v>22</v>
      </c>
      <c r="B24" s="9">
        <f>COUNTIF('Casos de prueba'!$C$2:$C$500,A24)</f>
        <v>40</v>
      </c>
      <c r="C24" s="9">
        <f>COUNTIFS('Casos de prueba'!$C$2:$C$500,A24,'Casos de prueba'!$K$2:$K$500,"Aprobado")</f>
        <v>34</v>
      </c>
      <c r="D24" s="9">
        <f>COUNTIFS('Casos de prueba'!$C$2:$C$500,A24,'Casos de prueba'!$K$2:$K$500,"Fallido")</f>
        <v>6</v>
      </c>
      <c r="E24" s="9">
        <f>COUNTIFS('Casos de prueba'!$C$2:$C$500,A24,'Casos de prueba'!$K$2:$K$500,"Pendiente")</f>
        <v>0</v>
      </c>
      <c r="F24" s="9">
        <f>COUNTIFS('Casos de prueba'!$C$2:$C$500,A24,'Casos de prueba'!$K$2:$K$500,"Bloqueado")</f>
        <v>0</v>
      </c>
      <c r="G24" s="10">
        <f t="shared" si="0"/>
        <v>0.85</v>
      </c>
    </row>
    <row r="25" spans="1:7">
      <c r="A25" s="5" t="s">
        <v>23</v>
      </c>
      <c r="B25" s="9">
        <f>COUNTIF('Casos de prueba'!$C$2:$C$500,A25)</f>
        <v>8</v>
      </c>
      <c r="C25" s="9">
        <f>COUNTIFS('Casos de prueba'!$C$2:$C$500,A25,'Casos de prueba'!$K$2:$K$500,"Aprobado")</f>
        <v>8</v>
      </c>
      <c r="D25" s="9">
        <f>COUNTIFS('Casos de prueba'!$C$2:$C$500,A25,'Casos de prueba'!$K$2:$K$500,"Fallido")</f>
        <v>0</v>
      </c>
      <c r="E25" s="9">
        <f>COUNTIFS('Casos de prueba'!$C$2:$C$500,A25,'Casos de prueba'!$K$2:$K$500,"Pendiente")</f>
        <v>0</v>
      </c>
      <c r="F25" s="9">
        <f>COUNTIFS('Casos de prueba'!$C$2:$C$500,A25,'Casos de prueba'!$K$2:$K$500,"Bloqueado")</f>
        <v>0</v>
      </c>
      <c r="G25" s="10">
        <f t="shared" si="0"/>
        <v>1</v>
      </c>
    </row>
    <row r="26" spans="1:7">
      <c r="A26" s="5" t="s">
        <v>24</v>
      </c>
      <c r="B26" s="9">
        <f>COUNTIF('Casos de prueba'!$C$2:$C$500,A26)</f>
        <v>12</v>
      </c>
      <c r="C26" s="9">
        <f>COUNTIFS('Casos de prueba'!$C$2:$C$500,A26,'Casos de prueba'!$K$2:$K$500,"Aprobado")</f>
        <v>8</v>
      </c>
      <c r="D26" s="9">
        <f>COUNTIFS('Casos de prueba'!$C$2:$C$500,A26,'Casos de prueba'!$K$2:$K$500,"Fallido")</f>
        <v>3</v>
      </c>
      <c r="E26" s="9">
        <f>COUNTIFS('Casos de prueba'!$C$2:$C$500,A26,'Casos de prueba'!$K$2:$K$500,"Pendiente")</f>
        <v>0</v>
      </c>
      <c r="F26" s="9">
        <f>COUNTIFS('Casos de prueba'!$C$2:$C$500,A26,'Casos de prueba'!$K$2:$K$500,"Bloqueado")</f>
        <v>1</v>
      </c>
      <c r="G26" s="10">
        <f t="shared" si="0"/>
        <v>0.666666666666667</v>
      </c>
    </row>
    <row r="27" spans="1:7">
      <c r="A27" s="11" t="s">
        <v>16</v>
      </c>
      <c r="B27" s="12">
        <f>SUM(B20:B26)</f>
        <v>165</v>
      </c>
      <c r="C27" s="12">
        <f>SUM(C20:C26)</f>
        <v>150</v>
      </c>
      <c r="D27" s="12">
        <f>SUM(D20:D26)</f>
        <v>13</v>
      </c>
      <c r="E27" s="12">
        <f>SUM(E20:E26)</f>
        <v>0</v>
      </c>
      <c r="F27" s="12">
        <f>SUM(F20:F26)</f>
        <v>2</v>
      </c>
      <c r="G27" s="13">
        <f t="shared" si="0"/>
        <v>0.909090909090909</v>
      </c>
    </row>
    <row r="30" spans="1:7">
      <c r="A30" s="4" t="s">
        <v>25</v>
      </c>
    </row>
    <row r="31" spans="1:7" ht="45" customHeight="1">
      <c r="A31" s="14" t="s">
        <v>26</v>
      </c>
      <c r="B31" s="22" t="s">
        <v>27</v>
      </c>
      <c r="C31" s="22"/>
      <c r="D31" s="22"/>
      <c r="E31" s="22"/>
      <c r="F31" s="22"/>
      <c r="G31" s="22"/>
    </row>
    <row r="32" spans="1:7" ht="45" customHeight="1">
      <c r="A32" s="14" t="s">
        <v>28</v>
      </c>
      <c r="B32" s="22" t="s">
        <v>29</v>
      </c>
      <c r="C32" s="22"/>
      <c r="D32" s="22"/>
      <c r="E32" s="22"/>
      <c r="F32" s="22"/>
      <c r="G32" s="22"/>
    </row>
    <row r="33" spans="1:7" ht="45" customHeight="1">
      <c r="A33" s="14" t="s">
        <v>30</v>
      </c>
      <c r="B33" s="22" t="s">
        <v>31</v>
      </c>
      <c r="C33" s="22"/>
      <c r="D33" s="22"/>
      <c r="E33" s="22"/>
      <c r="F33" s="22"/>
      <c r="G33" s="22"/>
    </row>
    <row r="34" spans="1:7" ht="45" customHeight="1">
      <c r="A34" s="14" t="s">
        <v>32</v>
      </c>
      <c r="B34" s="22" t="s">
        <v>33</v>
      </c>
      <c r="C34" s="22"/>
      <c r="D34" s="22"/>
      <c r="E34" s="22"/>
      <c r="F34" s="22"/>
      <c r="G34" s="22"/>
    </row>
    <row r="35" spans="1:7" ht="75" customHeight="1">
      <c r="A35" s="14" t="s">
        <v>34</v>
      </c>
      <c r="B35" s="22" t="s">
        <v>35</v>
      </c>
      <c r="C35" s="22"/>
      <c r="D35" s="22"/>
      <c r="E35" s="22"/>
      <c r="F35" s="22"/>
      <c r="G35" s="22"/>
    </row>
    <row r="36" spans="1:7" ht="45" customHeight="1">
      <c r="A36" s="14" t="s">
        <v>36</v>
      </c>
      <c r="B36" s="22" t="s">
        <v>37</v>
      </c>
      <c r="C36" s="22"/>
      <c r="D36" s="22"/>
      <c r="E36" s="22"/>
      <c r="F36" s="22"/>
      <c r="G36" s="22"/>
    </row>
  </sheetData>
  <mergeCells count="6">
    <mergeCell ref="B36:G36"/>
    <mergeCell ref="B31:G31"/>
    <mergeCell ref="B32:G32"/>
    <mergeCell ref="B33:G33"/>
    <mergeCell ref="B34:G34"/>
    <mergeCell ref="B35:G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Normal="100" workbookViewId="0">
      <pane ySplit="1" topLeftCell="A2" activePane="bottomLeft" state="frozen"/>
      <selection pane="bottomLeft" activeCell="I6" sqref="I6"/>
    </sheetView>
  </sheetViews>
  <sheetFormatPr defaultColWidth="8.7109375" defaultRowHeight="15"/>
  <cols>
    <col min="1" max="1" width="8" customWidth="1"/>
    <col min="2" max="2" width="60" customWidth="1"/>
    <col min="3" max="3" width="40" customWidth="1"/>
    <col min="4" max="4" width="16" customWidth="1"/>
    <col min="5" max="5" width="12" customWidth="1"/>
    <col min="6" max="6" width="11" customWidth="1"/>
    <col min="7" max="7" width="10" customWidth="1"/>
    <col min="8" max="8" width="11" customWidth="1"/>
    <col min="9" max="9" width="14" customWidth="1"/>
  </cols>
  <sheetData>
    <row r="1" spans="1:9" ht="30" customHeight="1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5</v>
      </c>
      <c r="G1" s="8" t="s">
        <v>6</v>
      </c>
      <c r="H1" s="8" t="s">
        <v>8</v>
      </c>
      <c r="I1" s="8" t="s">
        <v>43</v>
      </c>
    </row>
    <row r="2" spans="1:9" ht="27.95">
      <c r="A2" s="15" t="s">
        <v>44</v>
      </c>
      <c r="B2" s="1" t="s">
        <v>45</v>
      </c>
      <c r="C2" s="1" t="s">
        <v>46</v>
      </c>
      <c r="D2" s="1" t="s">
        <v>47</v>
      </c>
      <c r="E2" s="15">
        <f>COUNTIF('Casos de prueba'!$B$2:$B$500,A2)</f>
        <v>8</v>
      </c>
      <c r="F2" s="15">
        <f>COUNTIFS('Casos de prueba'!$B$2:$B$500,A2,'Casos de prueba'!$K$2:$K$500,"Aprobado")</f>
        <v>6</v>
      </c>
      <c r="G2" s="15">
        <f>COUNTIFS('Casos de prueba'!$B$2:$B$500,A2,'Casos de prueba'!$K$2:$K$500,"Fallido")</f>
        <v>1</v>
      </c>
      <c r="H2" s="15">
        <f>COUNTIFS('Casos de prueba'!$B$2:$B$500,A2,'Casos de prueba'!$K$2:$K$500,"Pendiente")+COUNTIFS('Casos de prueba'!$B$2:$B$500,A2,'Casos de prueba'!$K$2:$K$500,"Bloqueado")</f>
        <v>1</v>
      </c>
      <c r="I2" s="15" t="str">
        <f t="shared" ref="I2:I13" si="0">IF(E2=0,"Sin casos",IF(G2&gt;0,"Con fallos",IF(F2=E2,"Cumplido","En curso")))</f>
        <v>Con fallos</v>
      </c>
    </row>
    <row r="3" spans="1:9">
      <c r="A3" s="15" t="s">
        <v>48</v>
      </c>
      <c r="B3" s="1" t="s">
        <v>49</v>
      </c>
      <c r="C3" s="1" t="s">
        <v>50</v>
      </c>
      <c r="D3" s="1" t="s">
        <v>47</v>
      </c>
      <c r="E3" s="15">
        <f>COUNTIF('Casos de prueba'!$B$2:$B$500,A3)</f>
        <v>3</v>
      </c>
      <c r="F3" s="15">
        <f>COUNTIFS('Casos de prueba'!$B$2:$B$500,A3,'Casos de prueba'!$K$2:$K$500,"Aprobado")</f>
        <v>3</v>
      </c>
      <c r="G3" s="15">
        <f>COUNTIFS('Casos de prueba'!$B$2:$B$500,A3,'Casos de prueba'!$K$2:$K$500,"Fallido")</f>
        <v>0</v>
      </c>
      <c r="H3" s="15">
        <f>COUNTIFS('Casos de prueba'!$B$2:$B$500,A3,'Casos de prueba'!$K$2:$K$500,"Pendiente")+COUNTIFS('Casos de prueba'!$B$2:$B$500,A3,'Casos de prueba'!$K$2:$K$500,"Bloqueado")</f>
        <v>0</v>
      </c>
      <c r="I3" s="15" t="str">
        <f t="shared" si="0"/>
        <v>Cumplido</v>
      </c>
    </row>
    <row r="4" spans="1:9" ht="27.95">
      <c r="A4" s="15" t="s">
        <v>51</v>
      </c>
      <c r="B4" s="1" t="s">
        <v>52</v>
      </c>
      <c r="C4" s="1" t="s">
        <v>53</v>
      </c>
      <c r="D4" s="1" t="s">
        <v>47</v>
      </c>
      <c r="E4" s="15">
        <f>COUNTIF('Casos de prueba'!$B$2:$B$500,A4)</f>
        <v>5</v>
      </c>
      <c r="F4" s="15">
        <f>COUNTIFS('Casos de prueba'!$B$2:$B$500,A4,'Casos de prueba'!$K$2:$K$500,"Aprobado")</f>
        <v>4</v>
      </c>
      <c r="G4" s="15">
        <f>COUNTIFS('Casos de prueba'!$B$2:$B$500,A4,'Casos de prueba'!$K$2:$K$500,"Fallido")</f>
        <v>1</v>
      </c>
      <c r="H4" s="15">
        <f>COUNTIFS('Casos de prueba'!$B$2:$B$500,A4,'Casos de prueba'!$K$2:$K$500,"Pendiente")+COUNTIFS('Casos de prueba'!$B$2:$B$500,A4,'Casos de prueba'!$K$2:$K$500,"Bloqueado")</f>
        <v>0</v>
      </c>
      <c r="I4" s="15" t="str">
        <f t="shared" si="0"/>
        <v>Con fallos</v>
      </c>
    </row>
    <row r="5" spans="1:9" ht="27.95">
      <c r="A5" s="15" t="s">
        <v>54</v>
      </c>
      <c r="B5" s="1" t="s">
        <v>55</v>
      </c>
      <c r="C5" s="1" t="s">
        <v>56</v>
      </c>
      <c r="D5" s="1" t="s">
        <v>47</v>
      </c>
      <c r="E5" s="15">
        <f>COUNTIF('Casos de prueba'!$B$2:$B$500,A5)</f>
        <v>3</v>
      </c>
      <c r="F5" s="15">
        <f>COUNTIFS('Casos de prueba'!$B$2:$B$500,A5,'Casos de prueba'!$K$2:$K$500,"Aprobado")</f>
        <v>3</v>
      </c>
      <c r="G5" s="15">
        <f>COUNTIFS('Casos de prueba'!$B$2:$B$500,A5,'Casos de prueba'!$K$2:$K$500,"Fallido")</f>
        <v>0</v>
      </c>
      <c r="H5" s="15">
        <f>COUNTIFS('Casos de prueba'!$B$2:$B$500,A5,'Casos de prueba'!$K$2:$K$500,"Pendiente")+COUNTIFS('Casos de prueba'!$B$2:$B$500,A5,'Casos de prueba'!$K$2:$K$500,"Bloqueado")</f>
        <v>0</v>
      </c>
      <c r="I5" s="15" t="str">
        <f>IF(E5=0,"Sin casos",IF(G5&gt;0,"Con fallos",IF(F5=E5,"Cumplido","En curso")))</f>
        <v>Cumplido</v>
      </c>
    </row>
    <row r="6" spans="1:9" ht="27.95">
      <c r="A6" s="15" t="s">
        <v>57</v>
      </c>
      <c r="B6" s="1" t="s">
        <v>58</v>
      </c>
      <c r="C6" s="1" t="s">
        <v>59</v>
      </c>
      <c r="D6" s="1" t="s">
        <v>47</v>
      </c>
      <c r="E6" s="15">
        <f>COUNTIF('Casos de prueba'!$B$2:$B$500,A6)</f>
        <v>44</v>
      </c>
      <c r="F6" s="15">
        <f>COUNTIFS('Casos de prueba'!$B$2:$B$500,A6,'Casos de prueba'!$K$2:$K$500,"Aprobado")</f>
        <v>44</v>
      </c>
      <c r="G6" s="15">
        <f>COUNTIFS('Casos de prueba'!$B$2:$B$500,A6,'Casos de prueba'!$K$2:$K$500,"Fallido")</f>
        <v>0</v>
      </c>
      <c r="H6" s="15">
        <f>COUNTIFS('Casos de prueba'!$B$2:$B$500,A6,'Casos de prueba'!$K$2:$K$500,"Pendiente")+COUNTIFS('Casos de prueba'!$B$2:$B$500,A6,'Casos de prueba'!$K$2:$K$500,"Bloqueado")</f>
        <v>0</v>
      </c>
      <c r="I6" s="15" t="str">
        <f t="shared" si="0"/>
        <v>Cumplido</v>
      </c>
    </row>
    <row r="7" spans="1:9">
      <c r="A7" s="15" t="s">
        <v>60</v>
      </c>
      <c r="B7" s="1" t="s">
        <v>61</v>
      </c>
      <c r="C7" s="1" t="s">
        <v>62</v>
      </c>
      <c r="D7" s="1" t="s">
        <v>47</v>
      </c>
      <c r="E7" s="15">
        <f>COUNTIF('Casos de prueba'!$B$2:$B$500,A7)</f>
        <v>9</v>
      </c>
      <c r="F7" s="15">
        <f>COUNTIFS('Casos de prueba'!$B$2:$B$500,A7,'Casos de prueba'!$K$2:$K$500,"Aprobado")</f>
        <v>8</v>
      </c>
      <c r="G7" s="15">
        <f>COUNTIFS('Casos de prueba'!$B$2:$B$500,A7,'Casos de prueba'!$K$2:$K$500,"Fallido")</f>
        <v>1</v>
      </c>
      <c r="H7" s="15">
        <f>COUNTIFS('Casos de prueba'!$B$2:$B$500,A7,'Casos de prueba'!$K$2:$K$500,"Pendiente")+COUNTIFS('Casos de prueba'!$B$2:$B$500,A7,'Casos de prueba'!$K$2:$K$500,"Bloqueado")</f>
        <v>0</v>
      </c>
      <c r="I7" s="15" t="str">
        <f t="shared" si="0"/>
        <v>Con fallos</v>
      </c>
    </row>
    <row r="8" spans="1:9" ht="27.95">
      <c r="A8" s="15" t="s">
        <v>63</v>
      </c>
      <c r="B8" s="1" t="s">
        <v>64</v>
      </c>
      <c r="C8" s="1" t="s">
        <v>65</v>
      </c>
      <c r="D8" s="1" t="s">
        <v>66</v>
      </c>
      <c r="E8" s="15">
        <f>COUNTIF('Casos de prueba'!$B$2:$B$500,A8)</f>
        <v>27</v>
      </c>
      <c r="F8" s="15">
        <f>COUNTIFS('Casos de prueba'!$B$2:$B$500,A8,'Casos de prueba'!$K$2:$K$500,"Aprobado")</f>
        <v>21</v>
      </c>
      <c r="G8" s="15">
        <f>COUNTIFS('Casos de prueba'!$B$2:$B$500,A8,'Casos de prueba'!$K$2:$K$500,"Fallido")</f>
        <v>6</v>
      </c>
      <c r="H8" s="15">
        <f>COUNTIFS('Casos de prueba'!$B$2:$B$500,A8,'Casos de prueba'!$K$2:$K$500,"Pendiente")+COUNTIFS('Casos de prueba'!$B$2:$B$500,A8,'Casos de prueba'!$K$2:$K$500,"Bloqueado")</f>
        <v>0</v>
      </c>
      <c r="I8" s="15" t="str">
        <f t="shared" si="0"/>
        <v>Con fallos</v>
      </c>
    </row>
    <row r="9" spans="1:9">
      <c r="A9" s="15" t="s">
        <v>67</v>
      </c>
      <c r="B9" s="1" t="s">
        <v>68</v>
      </c>
      <c r="C9" s="1" t="s">
        <v>69</v>
      </c>
      <c r="D9" s="1" t="s">
        <v>66</v>
      </c>
      <c r="E9" s="15">
        <f>COUNTIF('Casos de prueba'!$B$2:$B$500,A9)</f>
        <v>7</v>
      </c>
      <c r="F9" s="15">
        <f>COUNTIFS('Casos de prueba'!$B$2:$B$500,A9,'Casos de prueba'!$K$2:$K$500,"Aprobado")</f>
        <v>7</v>
      </c>
      <c r="G9" s="15">
        <f>COUNTIFS('Casos de prueba'!$B$2:$B$500,A9,'Casos de prueba'!$K$2:$K$500,"Fallido")</f>
        <v>0</v>
      </c>
      <c r="H9" s="15">
        <f>COUNTIFS('Casos de prueba'!$B$2:$B$500,A9,'Casos de prueba'!$K$2:$K$500,"Pendiente")+COUNTIFS('Casos de prueba'!$B$2:$B$500,A9,'Casos de prueba'!$K$2:$K$500,"Bloqueado")</f>
        <v>0</v>
      </c>
      <c r="I9" s="15" t="str">
        <f t="shared" si="0"/>
        <v>Cumplido</v>
      </c>
    </row>
    <row r="10" spans="1:9" ht="27.95">
      <c r="A10" s="15" t="s">
        <v>70</v>
      </c>
      <c r="B10" s="1" t="s">
        <v>71</v>
      </c>
      <c r="C10" s="1" t="s">
        <v>72</v>
      </c>
      <c r="D10" s="1" t="s">
        <v>73</v>
      </c>
      <c r="E10" s="15">
        <f>COUNTIF('Casos de prueba'!$B$2:$B$500,A10)</f>
        <v>46</v>
      </c>
      <c r="F10" s="15">
        <f>COUNTIFS('Casos de prueba'!$B$2:$B$500,A10,'Casos de prueba'!$K$2:$K$500,"Aprobado")</f>
        <v>45</v>
      </c>
      <c r="G10" s="15">
        <f>COUNTIFS('Casos de prueba'!$B$2:$B$500,A10,'Casos de prueba'!$K$2:$K$500,"Fallido")</f>
        <v>1</v>
      </c>
      <c r="H10" s="15">
        <f>COUNTIFS('Casos de prueba'!$B$2:$B$500,A10,'Casos de prueba'!$K$2:$K$500,"Pendiente")+COUNTIFS('Casos de prueba'!$B$2:$B$500,A10,'Casos de prueba'!$K$2:$K$500,"Bloqueado")</f>
        <v>0</v>
      </c>
      <c r="I10" s="15" t="str">
        <f t="shared" si="0"/>
        <v>Con fallos</v>
      </c>
    </row>
    <row r="11" spans="1:9" ht="27.95">
      <c r="A11" s="15" t="s">
        <v>74</v>
      </c>
      <c r="B11" s="1" t="s">
        <v>75</v>
      </c>
      <c r="C11" s="1" t="s">
        <v>76</v>
      </c>
      <c r="D11" s="1" t="s">
        <v>73</v>
      </c>
      <c r="E11" s="15">
        <f>COUNTIF('Casos de prueba'!$B$2:$B$500,A11)</f>
        <v>9</v>
      </c>
      <c r="F11" s="15">
        <f>COUNTIFS('Casos de prueba'!$B$2:$B$500,A11,'Casos de prueba'!$K$2:$K$500,"Aprobado")</f>
        <v>7</v>
      </c>
      <c r="G11" s="15">
        <f>COUNTIFS('Casos de prueba'!$B$2:$B$500,A11,'Casos de prueba'!$K$2:$K$500,"Fallido")</f>
        <v>1</v>
      </c>
      <c r="H11" s="15">
        <f>COUNTIFS('Casos de prueba'!$B$2:$B$500,A11,'Casos de prueba'!$K$2:$K$500,"Pendiente")+COUNTIFS('Casos de prueba'!$B$2:$B$500,A11,'Casos de prueba'!$K$2:$K$500,"Bloqueado")</f>
        <v>1</v>
      </c>
      <c r="I11" s="15" t="str">
        <f t="shared" si="0"/>
        <v>Con fallos</v>
      </c>
    </row>
    <row r="12" spans="1:9" ht="27.95">
      <c r="A12" s="15" t="s">
        <v>77</v>
      </c>
      <c r="B12" s="1" t="s">
        <v>78</v>
      </c>
      <c r="C12" s="1" t="s">
        <v>79</v>
      </c>
      <c r="D12" s="1" t="s">
        <v>80</v>
      </c>
      <c r="E12" s="15">
        <f>COUNTIF('Casos de prueba'!$B$2:$B$500,A12)</f>
        <v>3</v>
      </c>
      <c r="F12" s="15">
        <f>COUNTIFS('Casos de prueba'!$B$2:$B$500,A12,'Casos de prueba'!$K$2:$K$500,"Aprobado")</f>
        <v>1</v>
      </c>
      <c r="G12" s="15">
        <f>COUNTIFS('Casos de prueba'!$B$2:$B$500,A12,'Casos de prueba'!$K$2:$K$500,"Fallido")</f>
        <v>2</v>
      </c>
      <c r="H12" s="15">
        <f>COUNTIFS('Casos de prueba'!$B$2:$B$500,A12,'Casos de prueba'!$K$2:$K$500,"Pendiente")+COUNTIFS('Casos de prueba'!$B$2:$B$500,A12,'Casos de prueba'!$K$2:$K$500,"Bloqueado")</f>
        <v>0</v>
      </c>
      <c r="I12" s="15" t="str">
        <f t="shared" si="0"/>
        <v>Con fallos</v>
      </c>
    </row>
    <row r="13" spans="1:9" ht="27.95">
      <c r="A13" s="15" t="s">
        <v>81</v>
      </c>
      <c r="B13" s="1" t="s">
        <v>82</v>
      </c>
      <c r="C13" s="1" t="s">
        <v>83</v>
      </c>
      <c r="D13" s="1" t="s">
        <v>73</v>
      </c>
      <c r="E13" s="15">
        <f>COUNTIF('Casos de prueba'!$B$2:$B$500,A13)</f>
        <v>1</v>
      </c>
      <c r="F13" s="15">
        <f>COUNTIFS('Casos de prueba'!$B$2:$B$500,A13,'Casos de prueba'!$K$2:$K$500,"Aprobado")</f>
        <v>1</v>
      </c>
      <c r="G13" s="15">
        <f>COUNTIFS('Casos de prueba'!$B$2:$B$500,A13,'Casos de prueba'!$K$2:$K$500,"Fallido")</f>
        <v>0</v>
      </c>
      <c r="H13" s="15">
        <f>COUNTIFS('Casos de prueba'!$B$2:$B$500,A13,'Casos de prueba'!$K$2:$K$500,"Pendiente")+COUNTIFS('Casos de prueba'!$B$2:$B$500,A13,'Casos de prueba'!$K$2:$K$500,"Bloqueado")</f>
        <v>0</v>
      </c>
      <c r="I13" s="15" t="str">
        <f t="shared" si="0"/>
        <v>Cumplido</v>
      </c>
    </row>
  </sheetData>
  <conditionalFormatting sqref="I2:I13">
    <cfRule type="cellIs" dxfId="6" priority="2" operator="equal">
      <formula>"Cumplido"</formula>
    </cfRule>
    <cfRule type="cellIs" dxfId="5" priority="3" operator="equal">
      <formula>"Con fallos"</formula>
    </cfRule>
    <cfRule type="cellIs" dxfId="4" priority="4" operator="equal">
      <formula>"Sin casos"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6"/>
  <sheetViews>
    <sheetView zoomScaleNormal="100" workbookViewId="0">
      <pane xSplit="2" ySplit="1" topLeftCell="C6" activePane="bottomRight" state="frozen"/>
      <selection pane="bottomRight" activeCell="K11" sqref="K11"/>
      <selection pane="bottomLeft" activeCell="A2" sqref="A2"/>
      <selection pane="topRight" activeCell="C1" sqref="C1"/>
    </sheetView>
  </sheetViews>
  <sheetFormatPr defaultColWidth="8.7109375" defaultRowHeight="15"/>
  <cols>
    <col min="1" max="1" width="12" customWidth="1"/>
    <col min="2" max="2" width="7" customWidth="1"/>
    <col min="3" max="3" width="16" customWidth="1"/>
    <col min="4" max="4" width="11" customWidth="1"/>
    <col min="5" max="5" width="13" customWidth="1"/>
    <col min="6" max="6" width="10" customWidth="1"/>
    <col min="7" max="7" width="40" customWidth="1"/>
    <col min="8" max="8" width="30" customWidth="1"/>
    <col min="9" max="9" width="46" customWidth="1"/>
    <col min="10" max="10" width="44" customWidth="1"/>
    <col min="11" max="11" width="12" customWidth="1"/>
    <col min="12" max="12" width="32" customWidth="1"/>
    <col min="13" max="13" width="18" customWidth="1"/>
    <col min="14" max="14" width="12" customWidth="1"/>
    <col min="15" max="15" width="14" customWidth="1"/>
    <col min="16" max="16" width="28" customWidth="1"/>
  </cols>
  <sheetData>
    <row r="1" spans="1:16" ht="30" customHeight="1">
      <c r="A1" s="8" t="s">
        <v>38</v>
      </c>
      <c r="B1" s="8" t="s">
        <v>84</v>
      </c>
      <c r="C1" s="8" t="s">
        <v>15</v>
      </c>
      <c r="D1" s="8" t="s">
        <v>85</v>
      </c>
      <c r="E1" s="8" t="s">
        <v>86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41</v>
      </c>
      <c r="P1" s="8" t="s">
        <v>96</v>
      </c>
    </row>
    <row r="2" spans="1:16" ht="27.95">
      <c r="A2" s="15" t="s">
        <v>97</v>
      </c>
      <c r="B2" s="15" t="s">
        <v>44</v>
      </c>
      <c r="C2" s="1" t="s">
        <v>18</v>
      </c>
      <c r="D2" s="15" t="s">
        <v>98</v>
      </c>
      <c r="E2" s="15" t="s">
        <v>99</v>
      </c>
      <c r="F2" s="15" t="s">
        <v>100</v>
      </c>
      <c r="G2" s="1" t="s">
        <v>101</v>
      </c>
      <c r="H2" s="1" t="s">
        <v>102</v>
      </c>
      <c r="I2" s="1" t="s">
        <v>103</v>
      </c>
      <c r="J2" s="1" t="s">
        <v>104</v>
      </c>
      <c r="K2" s="16" t="inlineStr">
        <is>
          <t xml:space="preserve">Aprobado</t>
        </is>
      </c>
      <c r="L2" s="17" t="inlineStr">
        <is>
          <t xml:space="preserve">DDL ejecutado con código 0, sin mensajes de error; persona_db creada (propietario sa).</t>
        </is>
      </c>
      <c r="M2" s="17" t="inlineStr">
        <is>
          <t xml:space="preserve">EV-BD-01.txt</t>
        </is>
      </c>
      <c r="N2" s="18">
        <v>46322</v>
      </c>
      <c r="O2" s="17" t="inlineStr">
        <is>
          <t xml:space="preserve">Automatizado</t>
        </is>
      </c>
      <c r="P2" s="17" t="inlineStr">
        <is>
          <t xml:space="preserve">Ejecutado en SQL Server 2022 en Docker con el usuario sa, según la opción A del README.</t>
        </is>
      </c>
    </row>
    <row r="3" spans="1:16" ht="27.95">
      <c r="A3" s="15" t="s">
        <v>106</v>
      </c>
      <c r="B3" s="15" t="s">
        <v>44</v>
      </c>
      <c r="C3" s="1" t="s">
        <v>18</v>
      </c>
      <c r="D3" s="15" t="s">
        <v>98</v>
      </c>
      <c r="E3" s="15" t="s">
        <v>99</v>
      </c>
      <c r="F3" s="15" t="s">
        <v>100</v>
      </c>
      <c r="G3" s="1" t="s">
        <v>107</v>
      </c>
      <c r="H3" s="1" t="s">
        <v>108</v>
      </c>
      <c r="I3" s="1" t="s">
        <v>109</v>
      </c>
      <c r="J3" s="1" t="s">
        <v>110</v>
      </c>
      <c r="K3" s="16" t="inlineStr">
        <is>
          <t xml:space="preserve">Aprobado</t>
        </is>
      </c>
      <c r="L3" s="17" t="inlineStr">
        <is>
          <t xml:space="preserve">INFORMATION_SCHEMA.TABLES lista 4 de 4 tablas en dbo: estudios, persona, profesión, teléfono.</t>
        </is>
      </c>
      <c r="M3" s="17" t="inlineStr">
        <is>
          <t xml:space="preserve">EV-BD-02.txt</t>
        </is>
      </c>
      <c r="N3" s="18">
        <v>46322</v>
      </c>
      <c r="O3" s="17" t="inlineStr">
        <is>
          <t xml:space="preserve">Automatizado</t>
        </is>
      </c>
      <c r="P3" s="17"/>
    </row>
    <row r="4" spans="1:16" ht="56.1">
      <c r="A4" s="15" t="s">
        <v>111</v>
      </c>
      <c r="B4" s="15" t="s">
        <v>44</v>
      </c>
      <c r="C4" s="1" t="s">
        <v>18</v>
      </c>
      <c r="D4" s="15" t="s">
        <v>98</v>
      </c>
      <c r="E4" s="15" t="s">
        <v>99</v>
      </c>
      <c r="F4" s="15" t="s">
        <v>100</v>
      </c>
      <c r="G4" s="1" t="s">
        <v>112</v>
      </c>
      <c r="H4" s="1" t="s">
        <v>108</v>
      </c>
      <c r="I4" s="1" t="s">
        <v>113</v>
      </c>
      <c r="J4" s="1" t="s">
        <v>114</v>
      </c>
      <c r="K4" s="16" t="inlineStr">
        <is>
          <t xml:space="preserve">Aprobado</t>
        </is>
      </c>
      <c r="L4" s="17" t="inlineStr">
        <is>
          <t xml:space="preserve">15 columnas equivalentes al modelo MySQL: INT para cc/id/duenio/cc_per, VARCHAR con las mismas longitudes, genero CHAR(1) con CHECK ('M','F'), des VARCHAR(MAX), fecha DATE.</t>
        </is>
      </c>
      <c r="M4" s="17" t="inlineStr">
        <is>
          <t xml:space="preserve">EV-BD-03.txt</t>
        </is>
      </c>
      <c r="N4" s="18">
        <v>46322</v>
      </c>
      <c r="O4" s="17" t="inlineStr">
        <is>
          <t xml:space="preserve">Automatizado</t>
        </is>
      </c>
      <c r="P4" s="17" t="inlineStr">
        <is>
          <t xml:space="preserve">ENUM de MySQL reemplazado por CHAR(1) + CHECK y TEXT por VARCHAR(MAX). Las columnas de texto son VARCHAR (no Unicode); ver BD-23.</t>
        </is>
      </c>
    </row>
    <row r="5" spans="1:16" ht="27.95">
      <c r="A5" s="15" t="s">
        <v>115</v>
      </c>
      <c r="B5" s="15" t="s">
        <v>44</v>
      </c>
      <c r="C5" s="1" t="s">
        <v>18</v>
      </c>
      <c r="D5" s="15" t="s">
        <v>98</v>
      </c>
      <c r="E5" s="15" t="s">
        <v>99</v>
      </c>
      <c r="F5" s="15" t="s">
        <v>100</v>
      </c>
      <c r="G5" s="1" t="s">
        <v>116</v>
      </c>
      <c r="H5" s="1" t="s">
        <v>108</v>
      </c>
      <c r="I5" s="1" t="s">
        <v>117</v>
      </c>
      <c r="J5" s="1" t="s">
        <v>118</v>
      </c>
      <c r="K5" s="16" t="inlineStr">
        <is>
          <t xml:space="preserve">Aprobado</t>
        </is>
      </c>
      <c r="L5" s="17" t="inlineStr">
        <is>
          <t xml:space="preserve">PK_persona(cc), PK_profesion(id), PK_telefono(num) y PK_estudios(id_prof, cc_per) compuesta.</t>
        </is>
      </c>
      <c r="M5" s="17" t="inlineStr">
        <is>
          <t xml:space="preserve">EV-BD-04.txt</t>
        </is>
      </c>
      <c r="N5" s="18">
        <v>46322</v>
      </c>
      <c r="O5" s="17" t="inlineStr">
        <is>
          <t xml:space="preserve">Automatizado</t>
        </is>
      </c>
      <c r="P5" s="17"/>
    </row>
    <row r="6" spans="1:16">
      <c r="A6" s="15" t="s">
        <v>119</v>
      </c>
      <c r="B6" s="15" t="s">
        <v>44</v>
      </c>
      <c r="C6" s="1" t="s">
        <v>18</v>
      </c>
      <c r="D6" s="15" t="s">
        <v>120</v>
      </c>
      <c r="E6" s="15" t="s">
        <v>99</v>
      </c>
      <c r="F6" s="15" t="s">
        <v>100</v>
      </c>
      <c r="G6" s="1" t="s">
        <v>121</v>
      </c>
      <c r="H6" s="1" t="s">
        <v>108</v>
      </c>
      <c r="I6" s="1" t="s">
        <v>122</v>
      </c>
      <c r="J6" s="1" t="s">
        <v>123</v>
      </c>
      <c r="K6" s="16" t="inlineStr">
        <is>
          <t xml:space="preserve">Aprobado</t>
        </is>
      </c>
      <c r="L6" s="17" t="inlineStr">
        <is>
          <t xml:space="preserve">FK_telefono_persona: telefono.duenio -&gt; persona.cc.</t>
        </is>
      </c>
      <c r="M6" s="17" t="inlineStr">
        <is>
          <t xml:space="preserve">EV-BD-05.txt</t>
        </is>
      </c>
      <c r="N6" s="18">
        <v>46322</v>
      </c>
      <c r="O6" s="17" t="inlineStr">
        <is>
          <t xml:space="preserve">Automatizado</t>
        </is>
      </c>
      <c r="P6" s="17"/>
    </row>
    <row r="7" spans="1:16" ht="27.95">
      <c r="A7" s="15" t="s">
        <v>124</v>
      </c>
      <c r="B7" s="15" t="s">
        <v>44</v>
      </c>
      <c r="C7" s="1" t="s">
        <v>18</v>
      </c>
      <c r="D7" s="15" t="s">
        <v>125</v>
      </c>
      <c r="E7" s="15" t="s">
        <v>99</v>
      </c>
      <c r="F7" s="15" t="s">
        <v>100</v>
      </c>
      <c r="G7" s="1" t="s">
        <v>126</v>
      </c>
      <c r="H7" s="1" t="s">
        <v>108</v>
      </c>
      <c r="I7" s="1" t="s">
        <v>127</v>
      </c>
      <c r="J7" s="1" t="s">
        <v>128</v>
      </c>
      <c r="K7" s="16" t="inlineStr">
        <is>
          <t xml:space="preserve">Aprobado</t>
        </is>
      </c>
      <c r="L7" s="17" t="inlineStr">
        <is>
          <t xml:space="preserve">FK_estudios_persona: estudios.cc_per -&gt; persona.cc; FK_estudios_profesion: estudios.id_prof -&gt; profesion.id.</t>
        </is>
      </c>
      <c r="M7" s="17" t="inlineStr">
        <is>
          <t xml:space="preserve">EV-BD-06.txt</t>
        </is>
      </c>
      <c r="N7" s="18">
        <v>46322</v>
      </c>
      <c r="O7" s="17" t="inlineStr">
        <is>
          <t xml:space="preserve">Automatizado</t>
        </is>
      </c>
      <c r="P7" s="17"/>
    </row>
    <row r="8" spans="1:16" ht="42">
      <c r="A8" s="15" t="s">
        <v>129</v>
      </c>
      <c r="B8" s="15" t="s">
        <v>44</v>
      </c>
      <c r="C8" s="1" t="s">
        <v>18</v>
      </c>
      <c r="D8" s="15" t="s">
        <v>98</v>
      </c>
      <c r="E8" s="15" t="s">
        <v>130</v>
      </c>
      <c r="F8" s="15" t="s">
        <v>131</v>
      </c>
      <c r="G8" s="1" t="s">
        <v>132</v>
      </c>
      <c r="H8" s="1" t="s">
        <v>133</v>
      </c>
      <c r="I8" s="1" t="s">
        <v>134</v>
      </c>
      <c r="J8" s="1" t="s">
        <v>135</v>
      </c>
      <c r="K8" s="16" t="inlineStr">
        <is>
          <t xml:space="preserve">Bloqueado</t>
        </is>
      </c>
      <c r="L8" s="17" t="inlineStr">
        <is>
          <t xml:space="preserve">Docker (sa): DDL sin cambios, código 0. Login sin sysadmin: código 1, falla en ALTER AUTHORIZATION. Express y LocalDB no disponibles en macOS.</t>
        </is>
      </c>
      <c r="M8" s="17" t="inlineStr">
        <is>
          <t xml:space="preserve">EV-BD-07.txt</t>
        </is>
      </c>
      <c r="N8" s="18">
        <v>46322</v>
      </c>
      <c r="O8" s="17" t="inlineStr">
        <is>
          <t xml:space="preserve">Automatizado</t>
        </is>
      </c>
      <c r="P8" s="17" t="inlineStr">
        <is>
          <t xml:space="preserve">Solo se pudo usar un entorno real (Docker). El documento (sec. 3.2) indica que en LocalDB se ejecuto el DDL quitando ALTER AUTHORIZATION ... TO sa, y el README no documenta ese ajuste. Falta repetirlo en Windows con LocalDB o Express. Defecto DEF-05. Re-prueba ronda 2 (28/10/2026, Pull Request #9, #10 y #11): Bloqueado. Evidencia en reprueba/ronda-2/EV-R2-BD-07.*.</t>
        </is>
      </c>
    </row>
    <row r="9" spans="1:16" ht="42">
      <c r="A9" s="15" t="s">
        <v>136</v>
      </c>
      <c r="B9" s="15" t="s">
        <v>44</v>
      </c>
      <c r="C9" s="1" t="s">
        <v>18</v>
      </c>
      <c r="D9" s="15" t="s">
        <v>98</v>
      </c>
      <c r="E9" s="15" t="s">
        <v>99</v>
      </c>
      <c r="F9" s="15" t="s">
        <v>131</v>
      </c>
      <c r="G9" s="1" t="s">
        <v>137</v>
      </c>
      <c r="H9" s="1" t="s">
        <v>138</v>
      </c>
      <c r="I9" s="1" t="s">
        <v>139</v>
      </c>
      <c r="J9" s="1" t="s">
        <v>140</v>
      </c>
      <c r="K9" s="16" t="inlineStr">
        <is>
          <t xml:space="preserve">Fallido</t>
        </is>
      </c>
      <c r="L9" s="17" t="inlineStr">
        <is>
          <t xml:space="preserve">El DDL termina con código 0, hace DROP TABLE de las 4 tablas y deja 0 registros (persona 5 -&gt; 0). El DML restaura los 20 registros. El README no advierte que se borran los datos.</t>
        </is>
      </c>
      <c r="M9" s="17" t="inlineStr">
        <is>
          <t xml:space="preserve">EV-BD-08.txt</t>
        </is>
      </c>
      <c r="N9" s="18">
        <v>46322</v>
      </c>
      <c r="O9" s="17" t="inlineStr">
        <is>
          <t xml:space="preserve">Automatizado</t>
        </is>
      </c>
      <c r="P9" s="17" t="inlineStr">
        <is>
          <t xml:space="preserve">Propuesta: advertir en el README y en el encabezado del DDL que re-ejecutarlo elimina los datos, o usar IF OBJECT_ID(...) IS NULL CREATE TABLE. Defecto DEF-04. Re-prueba ronda 2 (28/10/2026, Pull Request #9, #10 y #11): Aprobado. Evidencia en reprueba/ronda-2/EV-R2-BD-08.*.</t>
        </is>
      </c>
    </row>
    <row r="10" spans="1:16" ht="27.95">
      <c r="A10" s="15" t="s">
        <v>141</v>
      </c>
      <c r="B10" s="15" t="s">
        <v>48</v>
      </c>
      <c r="C10" s="1" t="s">
        <v>18</v>
      </c>
      <c r="D10" s="15" t="s">
        <v>98</v>
      </c>
      <c r="E10" s="15" t="s">
        <v>99</v>
      </c>
      <c r="F10" s="15" t="s">
        <v>100</v>
      </c>
      <c r="G10" s="1" t="s">
        <v>142</v>
      </c>
      <c r="H10" s="1" t="s">
        <v>108</v>
      </c>
      <c r="I10" s="1" t="s">
        <v>143</v>
      </c>
      <c r="J10" s="1" t="s">
        <v>144</v>
      </c>
      <c r="K10" s="16" t="inlineStr">
        <is>
          <t xml:space="preserve">Aprobado</t>
        </is>
      </c>
      <c r="L10" s="17" t="inlineStr">
        <is>
          <t xml:space="preserve">DML ejecutado con código 0, sin violaciones de restricciones.</t>
        </is>
      </c>
      <c r="M10" s="17" t="inlineStr">
        <is>
          <t xml:space="preserve">EV-BD-09.txt</t>
        </is>
      </c>
      <c r="N10" s="18">
        <v>46322</v>
      </c>
      <c r="O10" s="17" t="inlineStr">
        <is>
          <t xml:space="preserve">Automatizado</t>
        </is>
      </c>
      <c r="P10" s="17"/>
    </row>
    <row r="11" spans="1:16" ht="27.95">
      <c r="A11" s="15" t="s">
        <v>145</v>
      </c>
      <c r="B11" s="15" t="s">
        <v>48</v>
      </c>
      <c r="C11" s="1" t="s">
        <v>18</v>
      </c>
      <c r="D11" s="15" t="s">
        <v>98</v>
      </c>
      <c r="E11" s="15" t="s">
        <v>99</v>
      </c>
      <c r="F11" s="15" t="s">
        <v>100</v>
      </c>
      <c r="G11" s="1" t="s">
        <v>146</v>
      </c>
      <c r="H11" s="1" t="s">
        <v>147</v>
      </c>
      <c r="I11" s="1" t="s">
        <v>148</v>
      </c>
      <c r="J11" s="1" t="s">
        <v>149</v>
      </c>
      <c r="K11" s="16" t="inlineStr">
        <is>
          <t xml:space="preserve">Aprobado</t>
        </is>
      </c>
      <c r="L11" s="17" t="inlineStr">
        <is>
          <t xml:space="preserve">persona 5, profesión 4, teléfono 5, estudios 6 (20 registros), igual al DML.</t>
        </is>
      </c>
      <c r="M11" s="17" t="inlineStr">
        <is>
          <t xml:space="preserve">EV-BD-10.txt</t>
        </is>
      </c>
      <c r="N11" s="18">
        <v>46322</v>
      </c>
      <c r="O11" s="17" t="inlineStr">
        <is>
          <t xml:space="preserve">Automatizado</t>
        </is>
      </c>
      <c r="P11" s="17"/>
    </row>
    <row r="12" spans="1:16" ht="27.95">
      <c r="A12" s="15" t="s">
        <v>150</v>
      </c>
      <c r="B12" s="15" t="s">
        <v>48</v>
      </c>
      <c r="C12" s="1" t="s">
        <v>18</v>
      </c>
      <c r="D12" s="15" t="s">
        <v>98</v>
      </c>
      <c r="E12" s="15" t="s">
        <v>151</v>
      </c>
      <c r="F12" s="15" t="s">
        <v>131</v>
      </c>
      <c r="G12" s="1" t="s">
        <v>152</v>
      </c>
      <c r="H12" s="1" t="s">
        <v>147</v>
      </c>
      <c r="I12" s="1" t="s">
        <v>153</v>
      </c>
      <c r="J12" s="1" t="s">
        <v>154</v>
      </c>
      <c r="K12" s="16" t="inlineStr">
        <is>
          <t xml:space="preserve">Aprobado</t>
        </is>
      </c>
      <c r="L12" s="17" t="inlineStr">
        <is>
          <t xml:space="preserve">0 teléfonos y 0 estudios huérfanos.</t>
        </is>
      </c>
      <c r="M12" s="17" t="inlineStr">
        <is>
          <t xml:space="preserve">EV-BD-11.txt</t>
        </is>
      </c>
      <c r="N12" s="18">
        <v>46322</v>
      </c>
      <c r="O12" s="17" t="inlineStr">
        <is>
          <t xml:space="preserve">Automatizado</t>
        </is>
      </c>
      <c r="P12" s="17"/>
    </row>
    <row r="13" spans="1:16" ht="27.95">
      <c r="A13" s="15" t="s">
        <v>155</v>
      </c>
      <c r="B13" s="15" t="s">
        <v>70</v>
      </c>
      <c r="C13" s="1" t="s">
        <v>18</v>
      </c>
      <c r="D13" s="15" t="s">
        <v>156</v>
      </c>
      <c r="E13" s="15" t="s">
        <v>157</v>
      </c>
      <c r="F13" s="15" t="s">
        <v>100</v>
      </c>
      <c r="G13" s="1" t="s">
        <v>158</v>
      </c>
      <c r="H13" s="1" t="s">
        <v>147</v>
      </c>
      <c r="I13" s="1" t="s">
        <v>159</v>
      </c>
      <c r="J13" s="1" t="s">
        <v>160</v>
      </c>
      <c r="K13" s="16" t="inlineStr">
        <is>
          <t xml:space="preserve">Aprobado</t>
        </is>
      </c>
      <c r="L13" s="17" t="inlineStr">
        <is>
          <t xml:space="preserve">sin nombre: rechazado; sin apellido: rechazado; sin genero: rechazado (Msg 515, NOT NULL).</t>
        </is>
      </c>
      <c r="M13" s="17" t="inlineStr">
        <is>
          <t xml:space="preserve">EV-BD-12.txt</t>
        </is>
      </c>
      <c r="N13" s="18">
        <v>46322</v>
      </c>
      <c r="O13" s="17" t="inlineStr">
        <is>
          <t xml:space="preserve">Automatizado</t>
        </is>
      </c>
      <c r="P13" s="17"/>
    </row>
    <row r="14" spans="1:16" ht="27.95">
      <c r="A14" s="15" t="s">
        <v>161</v>
      </c>
      <c r="B14" s="15" t="s">
        <v>70</v>
      </c>
      <c r="C14" s="1" t="s">
        <v>18</v>
      </c>
      <c r="D14" s="15" t="s">
        <v>156</v>
      </c>
      <c r="E14" s="15" t="s">
        <v>157</v>
      </c>
      <c r="F14" s="15" t="s">
        <v>100</v>
      </c>
      <c r="G14" s="1" t="s">
        <v>162</v>
      </c>
      <c r="H14" s="1" t="s">
        <v>147</v>
      </c>
      <c r="I14" s="1" t="s">
        <v>163</v>
      </c>
      <c r="J14" s="1" t="s">
        <v>164</v>
      </c>
      <c r="K14" s="16" t="inlineStr">
        <is>
          <t xml:space="preserve">Aprobado</t>
        </is>
      </c>
      <c r="L14" s="17" t="inlineStr">
        <is>
          <t xml:space="preserve">genero X: rechazado; genero M: aceptado; genero F: aceptado (Msg 547, CK_persona_genero).</t>
        </is>
      </c>
      <c r="M14" s="17" t="inlineStr">
        <is>
          <t xml:space="preserve">EV-BD-13.txt</t>
        </is>
      </c>
      <c r="N14" s="18">
        <v>46322</v>
      </c>
      <c r="O14" s="17" t="inlineStr">
        <is>
          <t xml:space="preserve">Automatizado</t>
        </is>
      </c>
      <c r="P14" s="17"/>
    </row>
    <row r="15" spans="1:16" ht="27.95">
      <c r="A15" s="15" t="s">
        <v>165</v>
      </c>
      <c r="B15" s="15" t="s">
        <v>70</v>
      </c>
      <c r="C15" s="1" t="s">
        <v>18</v>
      </c>
      <c r="D15" s="15" t="s">
        <v>156</v>
      </c>
      <c r="E15" s="15" t="s">
        <v>166</v>
      </c>
      <c r="F15" s="15" t="s">
        <v>131</v>
      </c>
      <c r="G15" s="1" t="s">
        <v>167</v>
      </c>
      <c r="H15" s="1" t="s">
        <v>147</v>
      </c>
      <c r="I15" s="1" t="s">
        <v>168</v>
      </c>
      <c r="J15" s="1" t="s">
        <v>169</v>
      </c>
      <c r="K15" s="16" t="inlineStr">
        <is>
          <t xml:space="preserve">Aprobado</t>
        </is>
      </c>
      <c r="L15" s="17" t="inlineStr">
        <is>
          <t xml:space="preserve">edad NULL: aceptado; edad -1: rechazado (CK_persona_edad).</t>
        </is>
      </c>
      <c r="M15" s="17" t="inlineStr">
        <is>
          <t xml:space="preserve">EV-BD-14.txt</t>
        </is>
      </c>
      <c r="N15" s="18">
        <v>46322</v>
      </c>
      <c r="O15" s="17" t="inlineStr">
        <is>
          <t xml:space="preserve">Automatizado</t>
        </is>
      </c>
      <c r="P15" s="17" t="inlineStr">
        <is>
          <t xml:space="preserve">La base no limita la edad máxima; el limite 0-150 solo existe en el DTO de la API.</t>
        </is>
      </c>
    </row>
    <row r="16" spans="1:16" ht="27.95">
      <c r="A16" s="15" t="s">
        <v>170</v>
      </c>
      <c r="B16" s="15" t="s">
        <v>70</v>
      </c>
      <c r="C16" s="1" t="s">
        <v>18</v>
      </c>
      <c r="D16" s="15" t="s">
        <v>98</v>
      </c>
      <c r="E16" s="15" t="s">
        <v>157</v>
      </c>
      <c r="F16" s="15" t="s">
        <v>100</v>
      </c>
      <c r="G16" s="1" t="s">
        <v>171</v>
      </c>
      <c r="H16" s="1" t="s">
        <v>147</v>
      </c>
      <c r="I16" s="1" t="s">
        <v>172</v>
      </c>
      <c r="J16" s="1" t="s">
        <v>173</v>
      </c>
      <c r="K16" s="16" t="inlineStr">
        <is>
          <t xml:space="preserve">Aprobado</t>
        </is>
      </c>
      <c r="L16" s="17" t="inlineStr">
        <is>
          <t xml:space="preserve">persona 1001: rechazado; teléfono 3001112233: rechazado; profesión 1: rechazado (Msg 2627, PRIMARY KEY).</t>
        </is>
      </c>
      <c r="M16" s="17" t="inlineStr">
        <is>
          <t xml:space="preserve">EV-BD-15.txt</t>
        </is>
      </c>
      <c r="N16" s="18">
        <v>46322</v>
      </c>
      <c r="O16" s="17" t="inlineStr">
        <is>
          <t xml:space="preserve">Automatizado</t>
        </is>
      </c>
      <c r="P16" s="17"/>
    </row>
    <row r="17" spans="1:16" ht="27.95">
      <c r="A17" s="15" t="s">
        <v>174</v>
      </c>
      <c r="B17" s="15" t="s">
        <v>70</v>
      </c>
      <c r="C17" s="1" t="s">
        <v>18</v>
      </c>
      <c r="D17" s="15" t="s">
        <v>120</v>
      </c>
      <c r="E17" s="15" t="s">
        <v>151</v>
      </c>
      <c r="F17" s="15" t="s">
        <v>100</v>
      </c>
      <c r="G17" s="1" t="s">
        <v>175</v>
      </c>
      <c r="H17" s="1" t="s">
        <v>147</v>
      </c>
      <c r="I17" s="1" t="s">
        <v>176</v>
      </c>
      <c r="J17" s="1" t="s">
        <v>177</v>
      </c>
      <c r="K17" s="16" t="inlineStr">
        <is>
          <t xml:space="preserve">Aprobado</t>
        </is>
      </c>
      <c r="L17" s="17" t="inlineStr">
        <is>
          <t xml:space="preserve">duenio 999999: rechazado (Msg 547, FK_telefono_persona).</t>
        </is>
      </c>
      <c r="M17" s="17" t="inlineStr">
        <is>
          <t xml:space="preserve">EV-BD-16.txt</t>
        </is>
      </c>
      <c r="N17" s="18">
        <v>46322</v>
      </c>
      <c r="O17" s="17" t="inlineStr">
        <is>
          <t xml:space="preserve">Automatizado</t>
        </is>
      </c>
      <c r="P17" s="17"/>
    </row>
    <row r="18" spans="1:16" ht="27.95">
      <c r="A18" s="15" t="s">
        <v>178</v>
      </c>
      <c r="B18" s="15" t="s">
        <v>70</v>
      </c>
      <c r="C18" s="1" t="s">
        <v>18</v>
      </c>
      <c r="D18" s="15" t="s">
        <v>125</v>
      </c>
      <c r="E18" s="15" t="s">
        <v>151</v>
      </c>
      <c r="F18" s="15" t="s">
        <v>100</v>
      </c>
      <c r="G18" s="1" t="s">
        <v>179</v>
      </c>
      <c r="H18" s="1" t="s">
        <v>147</v>
      </c>
      <c r="I18" s="1" t="s">
        <v>180</v>
      </c>
      <c r="J18" s="1" t="s">
        <v>181</v>
      </c>
      <c r="K18" s="16" t="inlineStr">
        <is>
          <t xml:space="preserve">Aprobado</t>
        </is>
      </c>
      <c r="L18" s="17" t="inlineStr">
        <is>
          <t xml:space="preserve">cc_per inexistente: rechazado; id_prof inexistente: rechazado (Msg 547, FK de estudios).</t>
        </is>
      </c>
      <c r="M18" s="17" t="inlineStr">
        <is>
          <t xml:space="preserve">EV-BD-17.txt</t>
        </is>
      </c>
      <c r="N18" s="18">
        <v>46322</v>
      </c>
      <c r="O18" s="17" t="inlineStr">
        <is>
          <t xml:space="preserve">Automatizado</t>
        </is>
      </c>
      <c r="P18" s="17"/>
    </row>
    <row r="19" spans="1:16" ht="42">
      <c r="A19" s="15" t="s">
        <v>182</v>
      </c>
      <c r="B19" s="15" t="s">
        <v>70</v>
      </c>
      <c r="C19" s="1" t="s">
        <v>18</v>
      </c>
      <c r="D19" s="15" t="s">
        <v>125</v>
      </c>
      <c r="E19" s="15" t="s">
        <v>151</v>
      </c>
      <c r="F19" s="15" t="s">
        <v>100</v>
      </c>
      <c r="G19" s="1" t="s">
        <v>183</v>
      </c>
      <c r="H19" s="1" t="s">
        <v>147</v>
      </c>
      <c r="I19" s="1" t="s">
        <v>184</v>
      </c>
      <c r="J19" s="1" t="s">
        <v>185</v>
      </c>
      <c r="K19" s="16" t="inlineStr">
        <is>
          <t xml:space="preserve">Aprobado</t>
        </is>
      </c>
      <c r="L19" s="17" t="inlineStr">
        <is>
          <t xml:space="preserve">par (1,1001) duplicado: rechazado; persona 1001 con profesión 2: aceptado; profesión 1 con persona 1005: aceptado.</t>
        </is>
      </c>
      <c r="M19" s="17" t="inlineStr">
        <is>
          <t xml:space="preserve">EV-BD-18.txt</t>
        </is>
      </c>
      <c r="N19" s="18">
        <v>46322</v>
      </c>
      <c r="O19" s="17" t="inlineStr">
        <is>
          <t xml:space="preserve">Automatizado</t>
        </is>
      </c>
      <c r="P19" s="17"/>
    </row>
    <row r="20" spans="1:16" ht="27.95">
      <c r="A20" s="15" t="s">
        <v>186</v>
      </c>
      <c r="B20" s="15" t="s">
        <v>70</v>
      </c>
      <c r="C20" s="1" t="s">
        <v>18</v>
      </c>
      <c r="D20" s="15" t="s">
        <v>156</v>
      </c>
      <c r="E20" s="15" t="s">
        <v>151</v>
      </c>
      <c r="F20" s="15" t="s">
        <v>100</v>
      </c>
      <c r="G20" s="1" t="s">
        <v>187</v>
      </c>
      <c r="H20" s="1" t="s">
        <v>147</v>
      </c>
      <c r="I20" s="1" t="s">
        <v>188</v>
      </c>
      <c r="J20" s="1" t="s">
        <v>189</v>
      </c>
      <c r="K20" s="16" t="inlineStr">
        <is>
          <t xml:space="preserve">Aprobado</t>
        </is>
      </c>
      <c r="L20" s="17" t="inlineStr">
        <is>
          <t xml:space="preserve">DELETE persona 1001: rechazado (Msg 547); la persona 1001 permanece (1 fila).</t>
        </is>
      </c>
      <c r="M20" s="17" t="inlineStr">
        <is>
          <t xml:space="preserve">EV-BD-19.txt</t>
        </is>
      </c>
      <c r="N20" s="18">
        <v>46322</v>
      </c>
      <c r="O20" s="17" t="inlineStr">
        <is>
          <t xml:space="preserve">Automatizado</t>
        </is>
      </c>
      <c r="P20" s="17"/>
    </row>
    <row r="21" spans="1:16" ht="27.95">
      <c r="A21" s="15" t="s">
        <v>190</v>
      </c>
      <c r="B21" s="15" t="s">
        <v>70</v>
      </c>
      <c r="C21" s="1" t="s">
        <v>18</v>
      </c>
      <c r="D21" s="15" t="s">
        <v>191</v>
      </c>
      <c r="E21" s="15" t="s">
        <v>151</v>
      </c>
      <c r="F21" s="15" t="s">
        <v>100</v>
      </c>
      <c r="G21" s="1" t="s">
        <v>192</v>
      </c>
      <c r="H21" s="1" t="s">
        <v>147</v>
      </c>
      <c r="I21" s="1" t="s">
        <v>193</v>
      </c>
      <c r="J21" s="1" t="s">
        <v>194</v>
      </c>
      <c r="K21" s="16" t="inlineStr">
        <is>
          <t xml:space="preserve">Aprobado</t>
        </is>
      </c>
      <c r="L21" s="17" t="inlineStr">
        <is>
          <t xml:space="preserve">DELETE profesión 1: rechazado (Msg 547, FK_estudios_profesion).</t>
        </is>
      </c>
      <c r="M21" s="17" t="inlineStr">
        <is>
          <t xml:space="preserve">EV-BD-20.txt</t>
        </is>
      </c>
      <c r="N21" s="18">
        <v>46322</v>
      </c>
      <c r="O21" s="17" t="inlineStr">
        <is>
          <t xml:space="preserve">Automatizado</t>
        </is>
      </c>
      <c r="P21" s="17"/>
    </row>
    <row r="22" spans="1:16" ht="27.95">
      <c r="A22" s="15" t="s">
        <v>195</v>
      </c>
      <c r="B22" s="15" t="s">
        <v>70</v>
      </c>
      <c r="C22" s="1" t="s">
        <v>18</v>
      </c>
      <c r="D22" s="15" t="s">
        <v>98</v>
      </c>
      <c r="E22" s="15" t="s">
        <v>99</v>
      </c>
      <c r="F22" s="15" t="s">
        <v>131</v>
      </c>
      <c r="G22" s="1" t="s">
        <v>196</v>
      </c>
      <c r="H22" s="1" t="s">
        <v>147</v>
      </c>
      <c r="I22" s="1" t="s">
        <v>197</v>
      </c>
      <c r="J22" s="1" t="s">
        <v>198</v>
      </c>
      <c r="K22" s="16" t="inlineStr">
        <is>
          <t xml:space="preserve">Aprobado</t>
        </is>
      </c>
      <c r="L22" s="17" t="inlineStr">
        <is>
          <t xml:space="preserve">Teléfono, estudio, profesión y persona temporales creados y eliminados sin errores.</t>
        </is>
      </c>
      <c r="M22" s="17" t="inlineStr">
        <is>
          <t xml:space="preserve">EV-BD-21.txt</t>
        </is>
      </c>
      <c r="N22" s="18">
        <v>46322</v>
      </c>
      <c r="O22" s="17" t="inlineStr">
        <is>
          <t xml:space="preserve">Automatizado</t>
        </is>
      </c>
      <c r="P22" s="17"/>
    </row>
    <row r="23" spans="1:16" ht="42">
      <c r="A23" s="15" t="s">
        <v>199</v>
      </c>
      <c r="B23" s="15" t="s">
        <v>70</v>
      </c>
      <c r="C23" s="1" t="s">
        <v>18</v>
      </c>
      <c r="D23" s="15" t="s">
        <v>98</v>
      </c>
      <c r="E23" s="15" t="s">
        <v>166</v>
      </c>
      <c r="F23" s="15" t="s">
        <v>131</v>
      </c>
      <c r="G23" s="1" t="s">
        <v>200</v>
      </c>
      <c r="H23" s="1" t="s">
        <v>147</v>
      </c>
      <c r="I23" s="1" t="s">
        <v>201</v>
      </c>
      <c r="J23" s="1" t="s">
        <v>202</v>
      </c>
      <c r="K23" s="16" t="inlineStr">
        <is>
          <t xml:space="preserve">Aprobado</t>
        </is>
      </c>
      <c r="L23" s="17" t="inlineStr">
        <is>
          <t xml:space="preserve">Longitud máxima aceptada y máxima + 1 rechazada (Msg 2628, truncamiento) en los 6 campos.</t>
        </is>
      </c>
      <c r="M23" s="17" t="inlineStr">
        <is>
          <t xml:space="preserve">EV-BD-22.txt</t>
        </is>
      </c>
      <c r="N23" s="18">
        <v>46322</v>
      </c>
      <c r="O23" s="17" t="inlineStr">
        <is>
          <t xml:space="preserve">Automatizado</t>
        </is>
      </c>
      <c r="P23" s="17"/>
    </row>
    <row r="24" spans="1:16" ht="27.95">
      <c r="A24" s="15" t="s">
        <v>203</v>
      </c>
      <c r="B24" s="15" t="s">
        <v>70</v>
      </c>
      <c r="C24" s="1" t="s">
        <v>18</v>
      </c>
      <c r="D24" s="15" t="s">
        <v>156</v>
      </c>
      <c r="E24" s="15" t="s">
        <v>166</v>
      </c>
      <c r="F24" s="15" t="s">
        <v>131</v>
      </c>
      <c r="G24" s="1" t="s">
        <v>204</v>
      </c>
      <c r="H24" s="1" t="s">
        <v>147</v>
      </c>
      <c r="I24" s="1" t="s">
        <v>205</v>
      </c>
      <c r="J24" s="1" t="s">
        <v>206</v>
      </c>
      <c r="K24" s="16" t="inlineStr">
        <is>
          <t xml:space="preserve">Aprobado</t>
        </is>
      </c>
      <c r="L24" s="17" t="inlineStr">
        <is>
          <t xml:space="preserve">Se guardan y leen sin alteración: José Muñoz / Ángela Peña.</t>
        </is>
      </c>
      <c r="M24" s="17" t="inlineStr">
        <is>
          <t xml:space="preserve">EV-BD-23.txt</t>
        </is>
      </c>
      <c r="N24" s="18">
        <v>46322</v>
      </c>
      <c r="O24" s="17" t="inlineStr">
        <is>
          <t xml:space="preserve">Automatizado</t>
        </is>
      </c>
      <c r="P24" s="17" t="inlineStr">
        <is>
          <t xml:space="preserve">Columnas VARCHAR con collation SQL_Latin1_General_CP1_CI_AS (código de página 1252): tildes y ñ se conservan; caracteres fuera de 1252 se alteran ('Nguyễn' -&gt; 'Nguy?n', 'Łukasz' -&gt; 'Lukasz'). Mejora sugerida: NVARCHAR.</t>
        </is>
      </c>
    </row>
    <row r="25" spans="1:16" ht="42">
      <c r="A25" s="15" t="s">
        <v>207</v>
      </c>
      <c r="B25" s="15" t="s">
        <v>70</v>
      </c>
      <c r="C25" s="1" t="s">
        <v>18</v>
      </c>
      <c r="D25" s="15" t="s">
        <v>156</v>
      </c>
      <c r="E25" s="15" t="s">
        <v>166</v>
      </c>
      <c r="F25" s="15" t="s">
        <v>131</v>
      </c>
      <c r="G25" s="1" t="s">
        <v>208</v>
      </c>
      <c r="H25" s="1" t="s">
        <v>147</v>
      </c>
      <c r="I25" s="1" t="s">
        <v>209</v>
      </c>
      <c r="J25" s="1" t="s">
        <v>210</v>
      </c>
      <c r="K25" s="16" t="inlineStr">
        <is>
          <t xml:space="preserve">Aprobado</t>
        </is>
      </c>
      <c r="L25" s="17" t="inlineStr">
        <is>
          <t xml:space="preserve">cc 2147483647: aceptado; cc 2147483648: rechazado; cc 1014857924 (10 dígitos): aceptado. Tipo INT (máximo 2.147.483.647).</t>
        </is>
      </c>
      <c r="M25" s="17" t="inlineStr">
        <is>
          <t xml:space="preserve">EV-BD-24.txt</t>
        </is>
      </c>
      <c r="N25" s="18">
        <v>46322</v>
      </c>
      <c r="O25" s="17" t="inlineStr">
        <is>
          <t xml:space="preserve">Automatizado</t>
        </is>
      </c>
      <c r="P25" s="17" t="inlineStr">
        <is>
          <t xml:space="preserve">El INT cubre las cédulas de 10 dígitos vigentes que empiezan por 1 (hasta 1.999.999.999) y equivale al INT(15) del modelo MySQL, que también es de 32 bits. No admite valores desde 2.147.483.648; si se requieren, conviene BIGINT o VARCHAR.</t>
        </is>
      </c>
    </row>
    <row r="26" spans="1:16" ht="27.95">
      <c r="A26" s="15" t="s">
        <v>211</v>
      </c>
      <c r="B26" s="15" t="s">
        <v>70</v>
      </c>
      <c r="C26" s="1" t="s">
        <v>18</v>
      </c>
      <c r="D26" s="15" t="s">
        <v>125</v>
      </c>
      <c r="E26" s="15" t="s">
        <v>166</v>
      </c>
      <c r="F26" s="15" t="s">
        <v>212</v>
      </c>
      <c r="G26" s="1" t="s">
        <v>213</v>
      </c>
      <c r="H26" s="1" t="s">
        <v>147</v>
      </c>
      <c r="I26" s="1" t="s">
        <v>214</v>
      </c>
      <c r="J26" s="1" t="s">
        <v>215</v>
      </c>
      <c r="K26" s="16" t="inlineStr">
        <is>
          <t xml:space="preserve">Aprobado</t>
        </is>
      </c>
      <c r="L26" s="17" t="inlineStr">
        <is>
          <t xml:space="preserve">fecha 2020-02-29: aceptado; fecha NULL: aceptado; fecha 2026-02-31: rechazado (Msg 241, conversión de fecha).</t>
        </is>
      </c>
      <c r="M26" s="17" t="inlineStr">
        <is>
          <t xml:space="preserve">EV-BD-25.txt</t>
        </is>
      </c>
      <c r="N26" s="18">
        <v>46322</v>
      </c>
      <c r="O26" s="17" t="inlineStr">
        <is>
          <t xml:space="preserve">Automatizado</t>
        </is>
      </c>
      <c r="P26" s="17" t="inlineStr">
        <is>
          <t xml:space="preserve">Control adicional: la fecha futura 2099-01-01 es aceptada; no hay CHECK sobre fecha.</t>
        </is>
      </c>
    </row>
    <row r="27" spans="1:16" ht="42">
      <c r="A27" s="15" t="s">
        <v>216</v>
      </c>
      <c r="B27" s="15" t="s">
        <v>81</v>
      </c>
      <c r="C27" s="1" t="s">
        <v>19</v>
      </c>
      <c r="D27" s="15" t="s">
        <v>98</v>
      </c>
      <c r="E27" s="15" t="s">
        <v>217</v>
      </c>
      <c r="F27" s="15" t="s">
        <v>100</v>
      </c>
      <c r="G27" s="1" t="s">
        <v>218</v>
      </c>
      <c r="H27" s="1" t="s">
        <v>219</v>
      </c>
      <c r="I27" s="1" t="s">
        <v>220</v>
      </c>
      <c r="J27" s="1" t="s">
        <v>221</v>
      </c>
      <c r="K27" s="16" t="inlineStr">
        <is>
          <t xml:space="preserve">Aprobado</t>
        </is>
      </c>
      <c r="L27" s="17" t="inlineStr">
        <is>
          <t xml:space="preserve">net6.0, Microsoft.NET.Sdk.Web (ASP.NET Core MVC), EF Core 6.0.36 con SqlServer y Design, Swashbuckle 6.5.0. El README justifica .NET 6 frente al 7 del stack del enunciado.</t>
        </is>
      </c>
      <c r="M27" s="17" t="inlineStr">
        <is>
          <t xml:space="preserve">EV-BK-01.txt</t>
        </is>
      </c>
      <c r="N27" s="18">
        <v>46322</v>
      </c>
      <c r="O27" s="17" t="inlineStr">
        <is>
          <t xml:space="preserve">Automatizado</t>
        </is>
      </c>
      <c r="P27" s="17" t="inlineStr">
        <is>
          <t xml:space="preserve">.NET 6 está fuera de soporte desde noviembre de 2024; con SDK recientes se emite la advertencia NETSDK1138. Regresión en feature/frontend-mvc (eea9ee8): mismo resultado.</t>
        </is>
      </c>
    </row>
    <row r="28" spans="1:16" ht="27.95">
      <c r="A28" s="15" t="s">
        <v>222</v>
      </c>
      <c r="B28" s="15" t="s">
        <v>51</v>
      </c>
      <c r="C28" s="1" t="s">
        <v>19</v>
      </c>
      <c r="D28" s="15" t="s">
        <v>98</v>
      </c>
      <c r="E28" s="15" t="s">
        <v>99</v>
      </c>
      <c r="F28" s="15" t="s">
        <v>100</v>
      </c>
      <c r="G28" s="1" t="s">
        <v>223</v>
      </c>
      <c r="H28" s="1" t="s">
        <v>224</v>
      </c>
      <c r="I28" s="1" t="s">
        <v>225</v>
      </c>
      <c r="J28" s="1" t="s">
        <v>226</v>
      </c>
      <c r="K28" s="16" t="inlineStr">
        <is>
          <t xml:space="preserve">Aprobado</t>
        </is>
      </c>
      <c r="L28" s="17" t="inlineStr">
        <is>
          <t xml:space="preserve">dotnet build (SDK 6.0.428): código 0, 0 errores y 0 advertencias.</t>
        </is>
      </c>
      <c r="M28" s="17" t="inlineStr">
        <is>
          <t xml:space="preserve">EV-BK-02.txt</t>
        </is>
      </c>
      <c r="N28" s="18">
        <v>46322</v>
      </c>
      <c r="O28" s="17" t="inlineStr">
        <is>
          <t xml:space="preserve">Automatizado</t>
        </is>
      </c>
      <c r="P28" s="17" t="inlineStr">
        <is>
          <t xml:space="preserve">Regresión en feature/frontend-mvc (eea9ee8): mismo resultado.</t>
        </is>
      </c>
    </row>
    <row r="29" spans="1:16" ht="27.95">
      <c r="A29" s="15" t="s">
        <v>227</v>
      </c>
      <c r="B29" s="15" t="s">
        <v>51</v>
      </c>
      <c r="C29" s="1" t="s">
        <v>19</v>
      </c>
      <c r="D29" s="15" t="s">
        <v>98</v>
      </c>
      <c r="E29" s="15" t="s">
        <v>99</v>
      </c>
      <c r="F29" s="15" t="s">
        <v>100</v>
      </c>
      <c r="G29" s="1" t="s">
        <v>228</v>
      </c>
      <c r="H29" s="1" t="s">
        <v>229</v>
      </c>
      <c r="I29" s="1" t="s">
        <v>230</v>
      </c>
      <c r="J29" s="1" t="s">
        <v>231</v>
      </c>
      <c r="K29" s="16" t="inlineStr">
        <is>
          <t xml:space="preserve">Aprobado</t>
        </is>
      </c>
      <c r="L29" s="17" t="inlineStr">
        <is>
          <t xml:space="preserve">La aplicación inicia en http://localhost:5025; la página de inicio responde 200 y el listado de personas 200 con 5 registros de persona_db.</t>
        </is>
      </c>
      <c r="M29" s="17" t="inlineStr">
        <is>
          <t xml:space="preserve">EV-BK-03.txt</t>
        </is>
      </c>
      <c r="N29" s="18">
        <v>46322</v>
      </c>
      <c r="O29" s="17" t="inlineStr">
        <is>
          <t xml:space="preserve">Automatizado</t>
        </is>
      </c>
      <c r="P29" s="17" t="inlineStr">
        <is>
          <t xml:space="preserve">Regresión en feature/frontend-mvc (eea9ee8): mismo resultado.</t>
        </is>
      </c>
    </row>
    <row r="30" spans="1:16" ht="27.95">
      <c r="A30" s="15" t="s">
        <v>232</v>
      </c>
      <c r="B30" s="15" t="s">
        <v>51</v>
      </c>
      <c r="C30" s="1" t="s">
        <v>19</v>
      </c>
      <c r="D30" s="15" t="s">
        <v>98</v>
      </c>
      <c r="E30" s="15" t="s">
        <v>217</v>
      </c>
      <c r="F30" s="15" t="s">
        <v>100</v>
      </c>
      <c r="G30" s="1" t="s">
        <v>233</v>
      </c>
      <c r="H30" s="1" t="s">
        <v>219</v>
      </c>
      <c r="I30" s="1" t="s">
        <v>234</v>
      </c>
      <c r="J30" s="1" t="s">
        <v>235</v>
      </c>
      <c r="K30" s="16" t="inlineStr">
        <is>
          <t xml:space="preserve">Aprobado</t>
        </is>
      </c>
      <c r="L30" s="17" t="inlineStr">
        <is>
          <t xml:space="preserve">persona_dbContext mapea 4 entidades (Estudio, Persona, Profesion, Telefono), clave compuesta (IdProf, CcPer) y las 3 relaciones FK_estudios_persona, FK_estudios_profesion, FK_telefono_persona.</t>
        </is>
      </c>
      <c r="M30" s="17" t="inlineStr">
        <is>
          <t xml:space="preserve">EV-BK-04.txt</t>
        </is>
      </c>
      <c r="N30" s="18">
        <v>46322</v>
      </c>
      <c r="O30" s="17" t="inlineStr">
        <is>
          <t xml:space="preserve">Automatizado</t>
        </is>
      </c>
      <c r="P30" s="17" t="inlineStr">
        <is>
          <t xml:space="preserve">El DbSet de profesión se llama 'Profesions' (pluralización del scaffold); no afecta el funcionamiento. Regresión en feature/frontend-mvc (eea9ee8): mismo resultado.</t>
        </is>
      </c>
    </row>
    <row r="31" spans="1:16" ht="27.95">
      <c r="A31" s="15" t="s">
        <v>236</v>
      </c>
      <c r="B31" s="15" t="s">
        <v>51</v>
      </c>
      <c r="C31" s="1" t="s">
        <v>19</v>
      </c>
      <c r="D31" s="15" t="s">
        <v>98</v>
      </c>
      <c r="E31" s="15" t="s">
        <v>237</v>
      </c>
      <c r="F31" s="15" t="s">
        <v>131</v>
      </c>
      <c r="G31" s="1" t="s">
        <v>238</v>
      </c>
      <c r="H31" s="1" t="s">
        <v>239</v>
      </c>
      <c r="I31" s="1" t="s">
        <v>240</v>
      </c>
      <c r="J31" s="1" t="s">
        <v>241</v>
      </c>
      <c r="K31" s="16" t="inlineStr">
        <is>
          <t xml:space="preserve">Aprobado</t>
        </is>
      </c>
      <c r="L31" s="17" t="inlineStr">
        <is>
          <t xml:space="preserve">Con ConnectionStrings__PersonaDb apuntando a otra base, la aplicación devuelve la persona 7777 (200); la instancia con appsettings.json responde 404. No se modifico código.</t>
        </is>
      </c>
      <c r="M31" s="17" t="inlineStr">
        <is>
          <t xml:space="preserve">EV-BK-05.txt</t>
        </is>
      </c>
      <c r="N31" s="18">
        <v>46322</v>
      </c>
      <c r="O31" s="17" t="inlineStr">
        <is>
          <t xml:space="preserve">Automatizado</t>
        </is>
      </c>
      <c r="P31" s="17" t="inlineStr">
        <is>
          <t xml:space="preserve">Regresión en feature/frontend-mvc (eea9ee8): mismo resultado.</t>
        </is>
      </c>
    </row>
    <row r="32" spans="1:16" ht="42">
      <c r="A32" s="15" t="s">
        <v>242</v>
      </c>
      <c r="B32" s="15" t="s">
        <v>54</v>
      </c>
      <c r="C32" s="1" t="s">
        <v>19</v>
      </c>
      <c r="D32" s="15" t="s">
        <v>98</v>
      </c>
      <c r="E32" s="15" t="s">
        <v>217</v>
      </c>
      <c r="F32" s="15" t="s">
        <v>100</v>
      </c>
      <c r="G32" s="1" t="s">
        <v>243</v>
      </c>
      <c r="H32" s="1" t="s">
        <v>219</v>
      </c>
      <c r="I32" s="1" t="s">
        <v>244</v>
      </c>
      <c r="J32" s="1" t="s">
        <v>245</v>
      </c>
      <c r="K32" s="16" t="inlineStr">
        <is>
          <t xml:space="preserve">Aprobado</t>
        </is>
      </c>
      <c r="L32" s="17" t="inlineStr">
        <is>
          <t xml:space="preserve">4 interfaces (IPersona, ITelefono, IProfesion, IEstudio) con las 6 operaciones: GetAllAsync, GetByIdAsync, ExistsAsync, AddAsync, UpdateAsync, DeleteAsync.</t>
        </is>
      </c>
      <c r="M32" s="17" t="inlineStr">
        <is>
          <t xml:space="preserve">EV-BK-06.txt</t>
        </is>
      </c>
      <c r="N32" s="18">
        <v>46322</v>
      </c>
      <c r="O32" s="17" t="inlineStr">
        <is>
          <t xml:space="preserve">Automatizado</t>
        </is>
      </c>
      <c r="P32" s="17" t="inlineStr">
        <is>
          <t xml:space="preserve">Regresión en feature/frontend-mvc (eea9ee8): mismo resultado.</t>
        </is>
      </c>
    </row>
    <row r="33" spans="1:16" ht="27.95">
      <c r="A33" s="15" t="s">
        <v>246</v>
      </c>
      <c r="B33" s="15" t="s">
        <v>54</v>
      </c>
      <c r="C33" s="1" t="s">
        <v>19</v>
      </c>
      <c r="D33" s="15" t="s">
        <v>98</v>
      </c>
      <c r="E33" s="15" t="s">
        <v>217</v>
      </c>
      <c r="F33" s="15" t="s">
        <v>100</v>
      </c>
      <c r="G33" s="1" t="s">
        <v>247</v>
      </c>
      <c r="H33" s="1" t="s">
        <v>219</v>
      </c>
      <c r="I33" s="1" t="s">
        <v>248</v>
      </c>
      <c r="J33" s="1" t="s">
        <v>249</v>
      </c>
      <c r="K33" s="16" t="inlineStr">
        <is>
          <t xml:space="preserve">Aprobado</t>
        </is>
      </c>
      <c r="L33" s="17" t="inlineStr">
        <is>
          <t xml:space="preserve">4 repositorios implementan sus interfaces y están registrados como AddScoped en Program.cs.</t>
        </is>
      </c>
      <c r="M33" s="17" t="inlineStr">
        <is>
          <t xml:space="preserve">EV-BK-07.txt</t>
        </is>
      </c>
      <c r="N33" s="18">
        <v>46322</v>
      </c>
      <c r="O33" s="17" t="inlineStr">
        <is>
          <t xml:space="preserve">Automatizado</t>
        </is>
      </c>
      <c r="P33" s="17" t="inlineStr">
        <is>
          <t xml:space="preserve">Regresión en feature/frontend-mvc (eea9ee8): mismo resultado.</t>
        </is>
      </c>
    </row>
    <row r="34" spans="1:16" ht="27.95">
      <c r="A34" s="15" t="s">
        <v>250</v>
      </c>
      <c r="B34" s="15" t="s">
        <v>54</v>
      </c>
      <c r="C34" s="1" t="s">
        <v>19</v>
      </c>
      <c r="D34" s="15" t="s">
        <v>98</v>
      </c>
      <c r="E34" s="15" t="s">
        <v>217</v>
      </c>
      <c r="F34" s="15" t="s">
        <v>131</v>
      </c>
      <c r="G34" s="1" t="s">
        <v>251</v>
      </c>
      <c r="H34" s="1" t="s">
        <v>219</v>
      </c>
      <c r="I34" s="1" t="s">
        <v>252</v>
      </c>
      <c r="J34" s="1" t="s">
        <v>253</v>
      </c>
      <c r="K34" s="16" t="inlineStr">
        <is>
          <t xml:space="preserve">Aprobado</t>
        </is>
      </c>
      <c r="L34" s="17" t="inlineStr">
        <is>
          <t xml:space="preserve">Ninguno de los 5 controladores referencia el DbContext; dependen de las interfaces DAO.</t>
        </is>
      </c>
      <c r="M34" s="17" t="inlineStr">
        <is>
          <t xml:space="preserve">EV-BK-08.txt</t>
        </is>
      </c>
      <c r="N34" s="18">
        <v>46322</v>
      </c>
      <c r="O34" s="17" t="inlineStr">
        <is>
          <t xml:space="preserve">Automatizado</t>
        </is>
      </c>
      <c r="P34" s="17" t="inlineStr">
        <is>
          <t xml:space="preserve">Regresión en feature/frontend-mvc (eea9ee8): mismo resultado.</t>
        </is>
      </c>
    </row>
    <row r="35" spans="1:16" ht="27.95">
      <c r="A35" s="15" t="s">
        <v>254</v>
      </c>
      <c r="B35" s="15" t="s">
        <v>51</v>
      </c>
      <c r="C35" s="1" t="s">
        <v>19</v>
      </c>
      <c r="D35" s="15" t="s">
        <v>98</v>
      </c>
      <c r="E35" s="15" t="s">
        <v>157</v>
      </c>
      <c r="F35" s="15" t="s">
        <v>131</v>
      </c>
      <c r="G35" s="1" t="s">
        <v>255</v>
      </c>
      <c r="H35" s="1" t="s">
        <v>256</v>
      </c>
      <c r="I35" s="1" t="s">
        <v>257</v>
      </c>
      <c r="J35" s="1" t="s">
        <v>258</v>
      </c>
      <c r="K35" s="16" t="inlineStr">
        <is>
          <t xml:space="preserve">Fallido</t>
        </is>
      </c>
      <c r="L35" s="17" t="inlineStr">
        <is>
          <t xml:space="preserve">La vista responde 503 con la página 'No se pudo acceder a los registros' sin detalles. La API responde 500 (text/plain; charset=utf-8) con la traza de la excepción (SqlException,    at ); no expone credenciales.</t>
        </is>
      </c>
      <c r="M35" s="17" t="inlineStr">
        <is>
          <t xml:space="preserve">EV-BK-09-vista.png, EV-BK-09.txt</t>
        </is>
      </c>
      <c r="N35" s="18">
        <v>46322</v>
      </c>
      <c r="O35" s="17" t="inlineStr">
        <is>
          <t xml:space="preserve">Automatizado</t>
        </is>
      </c>
      <c r="P35" s="17" t="inlineStr">
        <is>
          <t xml:space="preserve">Ejecutado como indica el README (dotnet run, entorno Development, página de excepciones del desarrollador). En Production la API devolveria la vista HTML /Home/Error. Propuesta: manejar el error en la API con ProblemDetails (503) en todos los entornos. Defecto DEF-03. Re-prueba ronda 2 (28/10/2026, Pull Request #9, #10 y #11): Aprobado. Evidencia en reprueba/ronda-2/EV-R2-BK-09.*.</t>
        </is>
      </c>
    </row>
    <row r="36" spans="1:16" ht="27.95">
      <c r="A36" s="15" t="s">
        <v>259</v>
      </c>
      <c r="B36" s="15" t="s">
        <v>57</v>
      </c>
      <c r="C36" s="1" t="s">
        <v>20</v>
      </c>
      <c r="D36" s="15" t="s">
        <v>156</v>
      </c>
      <c r="E36" s="15" t="s">
        <v>99</v>
      </c>
      <c r="F36" s="15" t="s">
        <v>100</v>
      </c>
      <c r="G36" s="1" t="s">
        <v>260</v>
      </c>
      <c r="H36" s="1" t="s">
        <v>261</v>
      </c>
      <c r="I36" s="1" t="s">
        <v>262</v>
      </c>
      <c r="J36" s="1" t="s">
        <v>263</v>
      </c>
      <c r="K36" s="16" t="inlineStr">
        <is>
          <t xml:space="preserve">Aprobado</t>
        </is>
      </c>
      <c r="L36" s="17" t="inlineStr">
        <is>
          <t xml:space="preserve">HTTP 200, arreglo de 5 personas, igual a COUNT(*) de la tabla.</t>
        </is>
      </c>
      <c r="M36" s="17" t="inlineStr">
        <is>
          <t xml:space="preserve">EV-API-PER-01.txt</t>
        </is>
      </c>
      <c r="N36" s="18">
        <v>46322</v>
      </c>
      <c r="O36" s="17" t="inlineStr">
        <is>
          <t xml:space="preserve">Automatizado</t>
        </is>
      </c>
      <c r="P36" s="17" t="inlineStr">
        <is>
          <t xml:space="preserve">Regresión en feature/frontend-mvc (eea9ee8): mismo resultado.</t>
        </is>
      </c>
    </row>
    <row r="37" spans="1:16" ht="27.95">
      <c r="A37" s="15" t="s">
        <v>264</v>
      </c>
      <c r="B37" s="15" t="s">
        <v>57</v>
      </c>
      <c r="C37" s="1" t="s">
        <v>20</v>
      </c>
      <c r="D37" s="15" t="s">
        <v>156</v>
      </c>
      <c r="E37" s="15" t="s">
        <v>99</v>
      </c>
      <c r="F37" s="15" t="s">
        <v>100</v>
      </c>
      <c r="G37" s="1" t="s">
        <v>265</v>
      </c>
      <c r="H37" s="1" t="s">
        <v>266</v>
      </c>
      <c r="I37" s="1" t="s">
        <v>267</v>
      </c>
      <c r="J37" s="1" t="s">
        <v>268</v>
      </c>
      <c r="K37" s="16" t="inlineStr">
        <is>
          <t xml:space="preserve">Aprobado</t>
        </is>
      </c>
      <c r="L37" s="17" t="inlineStr">
        <is>
          <t xml:space="preserve">HTTP 200 con cc, nombre, apellido, genero y edad de la persona 1001.</t>
        </is>
      </c>
      <c r="M37" s="17" t="inlineStr">
        <is>
          <t xml:space="preserve">EV-API-PER-02.txt</t>
        </is>
      </c>
      <c r="N37" s="18">
        <v>46322</v>
      </c>
      <c r="O37" s="17" t="inlineStr">
        <is>
          <t xml:space="preserve">Automatizado</t>
        </is>
      </c>
      <c r="P37" s="17" t="inlineStr">
        <is>
          <t xml:space="preserve">Regresión en feature/frontend-mvc (eea9ee8): mismo resultado.</t>
        </is>
      </c>
    </row>
    <row r="38" spans="1:16">
      <c r="A38" s="15" t="s">
        <v>269</v>
      </c>
      <c r="B38" s="15" t="s">
        <v>57</v>
      </c>
      <c r="C38" s="1" t="s">
        <v>20</v>
      </c>
      <c r="D38" s="15" t="s">
        <v>156</v>
      </c>
      <c r="E38" s="15" t="s">
        <v>157</v>
      </c>
      <c r="F38" s="15" t="s">
        <v>100</v>
      </c>
      <c r="G38" s="1" t="s">
        <v>270</v>
      </c>
      <c r="H38" s="1" t="s">
        <v>271</v>
      </c>
      <c r="I38" s="1" t="s">
        <v>272</v>
      </c>
      <c r="J38" s="1" t="s">
        <v>273</v>
      </c>
      <c r="K38" s="16" t="inlineStr">
        <is>
          <t xml:space="preserve">Aprobado</t>
        </is>
      </c>
      <c r="L38" s="17" t="inlineStr">
        <is>
          <t xml:space="preserve">HTTP 404 para cc 999999.</t>
        </is>
      </c>
      <c r="M38" s="17" t="inlineStr">
        <is>
          <t xml:space="preserve">EV-API-PER-03.txt</t>
        </is>
      </c>
      <c r="N38" s="18">
        <v>46322</v>
      </c>
      <c r="O38" s="17" t="inlineStr">
        <is>
          <t xml:space="preserve">Automatizado</t>
        </is>
      </c>
      <c r="P38" s="17" t="inlineStr">
        <is>
          <t xml:space="preserve">Regresión en feature/frontend-mvc (eea9ee8): mismo resultado.</t>
        </is>
      </c>
    </row>
    <row r="39" spans="1:16" ht="27.95">
      <c r="A39" s="15" t="s">
        <v>274</v>
      </c>
      <c r="B39" s="15" t="s">
        <v>57</v>
      </c>
      <c r="C39" s="1" t="s">
        <v>20</v>
      </c>
      <c r="D39" s="15" t="s">
        <v>156</v>
      </c>
      <c r="E39" s="15" t="s">
        <v>99</v>
      </c>
      <c r="F39" s="15" t="s">
        <v>100</v>
      </c>
      <c r="G39" s="1" t="s">
        <v>275</v>
      </c>
      <c r="H39" s="1" t="s">
        <v>276</v>
      </c>
      <c r="I39" s="1" t="s">
        <v>277</v>
      </c>
      <c r="J39" s="1" t="s">
        <v>278</v>
      </c>
      <c r="K39" s="16" t="inlineStr">
        <is>
          <t xml:space="preserve">Aprobado</t>
        </is>
      </c>
      <c r="L39" s="17" t="inlineStr">
        <is>
          <t xml:space="preserve">HTTP 201, Location http://localhost:5025/api/personas/2001; registro 2001 guardado en persona_db.</t>
        </is>
      </c>
      <c r="M39" s="17" t="inlineStr">
        <is>
          <t xml:space="preserve">EV-API-PER-04.txt</t>
        </is>
      </c>
      <c r="N39" s="18">
        <v>46322</v>
      </c>
      <c r="O39" s="17" t="inlineStr">
        <is>
          <t xml:space="preserve">Automatizado</t>
        </is>
      </c>
      <c r="P39" s="17" t="inlineStr">
        <is>
          <t xml:space="preserve">Control adicional: 'José Muñoz' se conserva; 'Nguyễn Łukasz' responde 201 pero se guarda como 'Nguy?n Lukasz' sin aviso (columnas VARCHAR, ver BD-23). Regresión en feature/frontend-mvc (eea9ee8): mismo resultado.</t>
        </is>
      </c>
    </row>
    <row r="40" spans="1:16" ht="27.95">
      <c r="A40" s="15" t="s">
        <v>279</v>
      </c>
      <c r="B40" s="15" t="s">
        <v>70</v>
      </c>
      <c r="C40" s="1" t="s">
        <v>20</v>
      </c>
      <c r="D40" s="15" t="s">
        <v>156</v>
      </c>
      <c r="E40" s="15" t="s">
        <v>157</v>
      </c>
      <c r="F40" s="15" t="s">
        <v>100</v>
      </c>
      <c r="G40" s="1" t="s">
        <v>280</v>
      </c>
      <c r="H40" s="1" t="s">
        <v>266</v>
      </c>
      <c r="I40" s="1" t="s">
        <v>281</v>
      </c>
      <c r="J40" s="1" t="s">
        <v>282</v>
      </c>
      <c r="K40" s="16" t="inlineStr">
        <is>
          <t xml:space="preserve">Aprobado</t>
        </is>
      </c>
      <c r="L40" s="17" t="inlineStr">
        <is>
          <t xml:space="preserve">HTTP 409: "Ya existe una persona con cc 2001."; el registro original no cambia.</t>
        </is>
      </c>
      <c r="M40" s="17" t="inlineStr">
        <is>
          <t xml:space="preserve">EV-API-PER-05.txt</t>
        </is>
      </c>
      <c r="N40" s="18">
        <v>46322</v>
      </c>
      <c r="O40" s="17" t="inlineStr">
        <is>
          <t xml:space="preserve">Automatizado</t>
        </is>
      </c>
      <c r="P40" s="17" t="inlineStr">
        <is>
          <t xml:space="preserve">Regresión en feature/frontend-mvc (eea9ee8): mismo resultado.</t>
        </is>
      </c>
    </row>
    <row r="41" spans="1:16" ht="42">
      <c r="A41" s="15" t="s">
        <v>283</v>
      </c>
      <c r="B41" s="15" t="s">
        <v>70</v>
      </c>
      <c r="C41" s="1" t="s">
        <v>20</v>
      </c>
      <c r="D41" s="15" t="s">
        <v>156</v>
      </c>
      <c r="E41" s="15" t="s">
        <v>157</v>
      </c>
      <c r="F41" s="15" t="s">
        <v>100</v>
      </c>
      <c r="G41" s="1" t="s">
        <v>284</v>
      </c>
      <c r="H41" s="1" t="s">
        <v>285</v>
      </c>
      <c r="I41" s="1" t="s">
        <v>286</v>
      </c>
      <c r="J41" s="1" t="s">
        <v>287</v>
      </c>
      <c r="K41" s="16" t="inlineStr">
        <is>
          <t xml:space="preserve">Aprobado</t>
        </is>
      </c>
      <c r="L41" s="17" t="inlineStr">
        <is>
          <t xml:space="preserve">Nombre vacío, genero X, edad 151, edad -1 y cc 0 responden [400, 400, 400, 400, 400] con el detalle en 'errors'; no se inserta nada.</t>
        </is>
      </c>
      <c r="M41" s="17" t="inlineStr">
        <is>
          <t xml:space="preserve">EV-API-PER-06.txt</t>
        </is>
      </c>
      <c r="N41" s="18">
        <v>46322</v>
      </c>
      <c r="O41" s="17" t="inlineStr">
        <is>
          <t xml:space="preserve">Automatizado</t>
        </is>
      </c>
      <c r="P41" s="17" t="inlineStr">
        <is>
          <t xml:space="preserve">Regresión en feature/frontend-mvc (eea9ee8): mismo resultado.</t>
        </is>
      </c>
    </row>
    <row r="42" spans="1:16" ht="27.95">
      <c r="A42" s="15" t="s">
        <v>288</v>
      </c>
      <c r="B42" s="15" t="s">
        <v>57</v>
      </c>
      <c r="C42" s="1" t="s">
        <v>20</v>
      </c>
      <c r="D42" s="15" t="s">
        <v>156</v>
      </c>
      <c r="E42" s="15" t="s">
        <v>99</v>
      </c>
      <c r="F42" s="15" t="s">
        <v>100</v>
      </c>
      <c r="G42" s="1" t="s">
        <v>289</v>
      </c>
      <c r="H42" s="1" t="s">
        <v>266</v>
      </c>
      <c r="I42" s="1" t="s">
        <v>290</v>
      </c>
      <c r="J42" s="1" t="s">
        <v>291</v>
      </c>
      <c r="K42" s="16" t="inlineStr">
        <is>
          <t xml:space="preserve">Aprobado</t>
        </is>
      </c>
      <c r="L42" s="17" t="inlineStr">
        <is>
          <t xml:space="preserve">HTTP 204; el GET posterior muestra nombre 'Editada' y edad 34.</t>
        </is>
      </c>
      <c r="M42" s="17" t="inlineStr">
        <is>
          <t xml:space="preserve">EV-API-PER-07.txt</t>
        </is>
      </c>
      <c r="N42" s="18">
        <v>46322</v>
      </c>
      <c r="O42" s="17" t="inlineStr">
        <is>
          <t xml:space="preserve">Automatizado</t>
        </is>
      </c>
      <c r="P42" s="17" t="inlineStr">
        <is>
          <t xml:space="preserve">Regresión en feature/frontend-mvc (eea9ee8): mismo resultado.</t>
        </is>
      </c>
    </row>
    <row r="43" spans="1:16" ht="27.95">
      <c r="A43" s="15" t="s">
        <v>292</v>
      </c>
      <c r="B43" s="15" t="s">
        <v>70</v>
      </c>
      <c r="C43" s="1" t="s">
        <v>20</v>
      </c>
      <c r="D43" s="15" t="s">
        <v>156</v>
      </c>
      <c r="E43" s="15" t="s">
        <v>157</v>
      </c>
      <c r="F43" s="15" t="s">
        <v>131</v>
      </c>
      <c r="G43" s="1" t="s">
        <v>293</v>
      </c>
      <c r="H43" s="1" t="s">
        <v>266</v>
      </c>
      <c r="I43" s="1" t="s">
        <v>294</v>
      </c>
      <c r="J43" s="1" t="s">
        <v>295</v>
      </c>
      <c r="K43" s="16" t="inlineStr">
        <is>
          <t xml:space="preserve">Aprobado</t>
        </is>
      </c>
      <c r="L43" s="17" t="inlineStr">
        <is>
          <t xml:space="preserve">HTTP 400: "La cc de la ruta no coincide con la del cuerpo."; ningún registro cambia.</t>
        </is>
      </c>
      <c r="M43" s="17" t="inlineStr">
        <is>
          <t xml:space="preserve">EV-API-PER-08.txt</t>
        </is>
      </c>
      <c r="N43" s="18">
        <v>46322</v>
      </c>
      <c r="O43" s="17" t="inlineStr">
        <is>
          <t xml:space="preserve">Automatizado</t>
        </is>
      </c>
      <c r="P43" s="17" t="inlineStr">
        <is>
          <t xml:space="preserve">Regresión en feature/frontend-mvc (eea9ee8): mismo resultado.</t>
        </is>
      </c>
    </row>
    <row r="44" spans="1:16">
      <c r="A44" s="15" t="s">
        <v>296</v>
      </c>
      <c r="B44" s="15" t="s">
        <v>57</v>
      </c>
      <c r="C44" s="1" t="s">
        <v>20</v>
      </c>
      <c r="D44" s="15" t="s">
        <v>156</v>
      </c>
      <c r="E44" s="15" t="s">
        <v>157</v>
      </c>
      <c r="F44" s="15" t="s">
        <v>131</v>
      </c>
      <c r="G44" s="1" t="s">
        <v>297</v>
      </c>
      <c r="H44" s="1" t="s">
        <v>271</v>
      </c>
      <c r="I44" s="1" t="s">
        <v>298</v>
      </c>
      <c r="J44" s="1" t="s">
        <v>273</v>
      </c>
      <c r="K44" s="16" t="inlineStr">
        <is>
          <t xml:space="preserve">Aprobado</t>
        </is>
      </c>
      <c r="L44" s="17" t="inlineStr">
        <is>
          <t xml:space="preserve">HTTP 404.</t>
        </is>
      </c>
      <c r="M44" s="17" t="inlineStr">
        <is>
          <t xml:space="preserve">EV-API-PER-09.txt</t>
        </is>
      </c>
      <c r="N44" s="18">
        <v>46322</v>
      </c>
      <c r="O44" s="17" t="inlineStr">
        <is>
          <t xml:space="preserve">Automatizado</t>
        </is>
      </c>
      <c r="P44" s="17" t="inlineStr">
        <is>
          <t xml:space="preserve">Regresión en feature/frontend-mvc (eea9ee8): mismo resultado.</t>
        </is>
      </c>
    </row>
    <row r="45" spans="1:16" ht="27.95">
      <c r="A45" s="15" t="s">
        <v>299</v>
      </c>
      <c r="B45" s="15" t="s">
        <v>57</v>
      </c>
      <c r="C45" s="1" t="s">
        <v>20</v>
      </c>
      <c r="D45" s="15" t="s">
        <v>156</v>
      </c>
      <c r="E45" s="15" t="s">
        <v>99</v>
      </c>
      <c r="F45" s="15" t="s">
        <v>100</v>
      </c>
      <c r="G45" s="1" t="s">
        <v>300</v>
      </c>
      <c r="H45" s="1" t="s">
        <v>301</v>
      </c>
      <c r="I45" s="1" t="s">
        <v>302</v>
      </c>
      <c r="J45" s="1" t="s">
        <v>303</v>
      </c>
      <c r="K45" s="16" t="inlineStr">
        <is>
          <t xml:space="preserve">Aprobado</t>
        </is>
      </c>
      <c r="L45" s="17" t="inlineStr">
        <is>
          <t xml:space="preserve">DELETE HTTP 204; GET posterior HTTP 404.</t>
        </is>
      </c>
      <c r="M45" s="17" t="inlineStr">
        <is>
          <t xml:space="preserve">EV-API-PER-10.txt</t>
        </is>
      </c>
      <c r="N45" s="18">
        <v>46322</v>
      </c>
      <c r="O45" s="17" t="inlineStr">
        <is>
          <t xml:space="preserve">Automatizado</t>
        </is>
      </c>
      <c r="P45" s="17" t="inlineStr">
        <is>
          <t xml:space="preserve">Regresión en feature/frontend-mvc (eea9ee8): mismo resultado.</t>
        </is>
      </c>
    </row>
    <row r="46" spans="1:16">
      <c r="A46" s="15" t="s">
        <v>304</v>
      </c>
      <c r="B46" s="15" t="s">
        <v>57</v>
      </c>
      <c r="C46" s="1" t="s">
        <v>20</v>
      </c>
      <c r="D46" s="15" t="s">
        <v>156</v>
      </c>
      <c r="E46" s="15" t="s">
        <v>157</v>
      </c>
      <c r="F46" s="15" t="s">
        <v>131</v>
      </c>
      <c r="G46" s="1" t="s">
        <v>305</v>
      </c>
      <c r="H46" s="1" t="s">
        <v>271</v>
      </c>
      <c r="I46" s="1" t="s">
        <v>306</v>
      </c>
      <c r="J46" s="1" t="s">
        <v>273</v>
      </c>
      <c r="K46" s="16" t="inlineStr">
        <is>
          <t xml:space="preserve">Aprobado</t>
        </is>
      </c>
      <c r="L46" s="17" t="inlineStr">
        <is>
          <t xml:space="preserve">HTTP 404.</t>
        </is>
      </c>
      <c r="M46" s="17" t="inlineStr">
        <is>
          <t xml:space="preserve">EV-API-PER-11.txt</t>
        </is>
      </c>
      <c r="N46" s="18">
        <v>46322</v>
      </c>
      <c r="O46" s="17" t="inlineStr">
        <is>
          <t xml:space="preserve">Automatizado</t>
        </is>
      </c>
      <c r="P46" s="17" t="inlineStr">
        <is>
          <t xml:space="preserve">Regresión en feature/frontend-mvc (eea9ee8): mismo resultado.</t>
        </is>
      </c>
    </row>
    <row r="47" spans="1:16" ht="27.95">
      <c r="A47" s="15" t="s">
        <v>307</v>
      </c>
      <c r="B47" s="15" t="s">
        <v>70</v>
      </c>
      <c r="C47" s="1" t="s">
        <v>20</v>
      </c>
      <c r="D47" s="15" t="s">
        <v>156</v>
      </c>
      <c r="E47" s="15" t="s">
        <v>151</v>
      </c>
      <c r="F47" s="15" t="s">
        <v>100</v>
      </c>
      <c r="G47" s="1" t="s">
        <v>308</v>
      </c>
      <c r="H47" s="1" t="s">
        <v>309</v>
      </c>
      <c r="I47" s="1" t="s">
        <v>310</v>
      </c>
      <c r="J47" s="1" t="s">
        <v>311</v>
      </c>
      <c r="K47" s="16" t="inlineStr">
        <is>
          <t xml:space="preserve">Aprobado</t>
        </is>
      </c>
      <c r="L47" s="17" t="inlineStr">
        <is>
          <t xml:space="preserve">HTTP 409: "No se puede eliminar la persona porque tiene telefonos o estudios asociados."; la persona 1001 y sus dependientes (telefonos/estudios 2/1) permanecen.</t>
        </is>
      </c>
      <c r="M47" s="17" t="inlineStr">
        <is>
          <t xml:space="preserve">EV-API-PER-12.txt</t>
        </is>
      </c>
      <c r="N47" s="18">
        <v>46322</v>
      </c>
      <c r="O47" s="17" t="inlineStr">
        <is>
          <t xml:space="preserve">Automatizado</t>
        </is>
      </c>
      <c r="P47" s="17" t="inlineStr">
        <is>
          <t xml:space="preserve">El catch de DbUpdateException devuelve este mismo mensaje ante cualquier error de escritura, no solo por dependencias (revisión de código). Regresión en feature/frontend-mvc (eea9ee8): mismo resultado.</t>
        </is>
      </c>
    </row>
    <row r="48" spans="1:16" ht="27.95">
      <c r="A48" s="15" t="s">
        <v>312</v>
      </c>
      <c r="B48" s="15" t="s">
        <v>57</v>
      </c>
      <c r="C48" s="1" t="s">
        <v>20</v>
      </c>
      <c r="D48" s="15" t="s">
        <v>156</v>
      </c>
      <c r="E48" s="15" t="s">
        <v>166</v>
      </c>
      <c r="F48" s="15" t="s">
        <v>131</v>
      </c>
      <c r="G48" s="1" t="s">
        <v>313</v>
      </c>
      <c r="H48" s="1" t="s">
        <v>261</v>
      </c>
      <c r="I48" s="1" t="s">
        <v>314</v>
      </c>
      <c r="J48" s="1" t="s">
        <v>315</v>
      </c>
      <c r="K48" s="16" t="inlineStr">
        <is>
          <t xml:space="preserve">Aprobado</t>
        </is>
      </c>
      <c r="L48" s="17" t="inlineStr">
        <is>
          <t xml:space="preserve">Edad ausente, 0 y 150: [201, 201, 201]; edad 151: 400.</t>
        </is>
      </c>
      <c r="M48" s="17" t="inlineStr">
        <is>
          <t xml:space="preserve">EV-API-PER-13.txt</t>
        </is>
      </c>
      <c r="N48" s="18">
        <v>46322</v>
      </c>
      <c r="O48" s="17" t="inlineStr">
        <is>
          <t xml:space="preserve">Automatizado</t>
        </is>
      </c>
      <c r="P48" s="17" t="inlineStr">
        <is>
          <t xml:space="preserve">Regresión en feature/frontend-mvc (eea9ee8): mismo resultado.</t>
        </is>
      </c>
    </row>
    <row r="49" spans="1:16" ht="27.95">
      <c r="A49" s="15" t="s">
        <v>316</v>
      </c>
      <c r="B49" s="15" t="s">
        <v>57</v>
      </c>
      <c r="C49" s="1" t="s">
        <v>20</v>
      </c>
      <c r="D49" s="15" t="s">
        <v>120</v>
      </c>
      <c r="E49" s="15" t="s">
        <v>99</v>
      </c>
      <c r="F49" s="15" t="s">
        <v>100</v>
      </c>
      <c r="G49" s="1" t="s">
        <v>317</v>
      </c>
      <c r="H49" s="1" t="s">
        <v>261</v>
      </c>
      <c r="I49" s="1" t="s">
        <v>318</v>
      </c>
      <c r="J49" s="1" t="s">
        <v>263</v>
      </c>
      <c r="K49" s="16" t="inlineStr">
        <is>
          <t xml:space="preserve">Aprobado</t>
        </is>
      </c>
      <c r="L49" s="17" t="inlineStr">
        <is>
          <t xml:space="preserve">HTTP 200, arreglo de 5 teléfonos, igual a la tabla.</t>
        </is>
      </c>
      <c r="M49" s="17" t="inlineStr">
        <is>
          <t xml:space="preserve">EV-API-TEL-01.txt</t>
        </is>
      </c>
      <c r="N49" s="18">
        <v>46322</v>
      </c>
      <c r="O49" s="17" t="inlineStr">
        <is>
          <t xml:space="preserve">Automatizado</t>
        </is>
      </c>
      <c r="P49" s="17" t="inlineStr">
        <is>
          <t xml:space="preserve">Regresión en feature/frontend-mvc (eea9ee8): mismo resultado.</t>
        </is>
      </c>
    </row>
    <row r="50" spans="1:16" ht="27.95">
      <c r="A50" s="15" t="s">
        <v>319</v>
      </c>
      <c r="B50" s="15" t="s">
        <v>57</v>
      </c>
      <c r="C50" s="1" t="s">
        <v>20</v>
      </c>
      <c r="D50" s="15" t="s">
        <v>120</v>
      </c>
      <c r="E50" s="15" t="s">
        <v>99</v>
      </c>
      <c r="F50" s="15" t="s">
        <v>100</v>
      </c>
      <c r="G50" s="1" t="s">
        <v>320</v>
      </c>
      <c r="H50" s="1" t="s">
        <v>266</v>
      </c>
      <c r="I50" s="1" t="s">
        <v>321</v>
      </c>
      <c r="J50" s="1" t="s">
        <v>268</v>
      </c>
      <c r="K50" s="16" t="inlineStr">
        <is>
          <t xml:space="preserve">Aprobado</t>
        </is>
      </c>
      <c r="L50" s="17" t="inlineStr">
        <is>
          <t xml:space="preserve">HTTP 200 con num, oper y duenio.</t>
        </is>
      </c>
      <c r="M50" s="17" t="inlineStr">
        <is>
          <t xml:space="preserve">EV-API-TEL-02.txt</t>
        </is>
      </c>
      <c r="N50" s="18">
        <v>46322</v>
      </c>
      <c r="O50" s="17" t="inlineStr">
        <is>
          <t xml:space="preserve">Automatizado</t>
        </is>
      </c>
      <c r="P50" s="17" t="inlineStr">
        <is>
          <t xml:space="preserve">Regresión en feature/frontend-mvc (eea9ee8): mismo resultado.</t>
        </is>
      </c>
    </row>
    <row r="51" spans="1:16">
      <c r="A51" s="15" t="s">
        <v>322</v>
      </c>
      <c r="B51" s="15" t="s">
        <v>57</v>
      </c>
      <c r="C51" s="1" t="s">
        <v>20</v>
      </c>
      <c r="D51" s="15" t="s">
        <v>120</v>
      </c>
      <c r="E51" s="15" t="s">
        <v>157</v>
      </c>
      <c r="F51" s="15" t="s">
        <v>100</v>
      </c>
      <c r="G51" s="1" t="s">
        <v>270</v>
      </c>
      <c r="H51" s="1" t="s">
        <v>271</v>
      </c>
      <c r="I51" s="1" t="s">
        <v>323</v>
      </c>
      <c r="J51" s="1" t="s">
        <v>273</v>
      </c>
      <c r="K51" s="16" t="inlineStr">
        <is>
          <t xml:space="preserve">Aprobado</t>
        </is>
      </c>
      <c r="L51" s="17" t="inlineStr">
        <is>
          <t xml:space="preserve">HTTP 404.</t>
        </is>
      </c>
      <c r="M51" s="17" t="inlineStr">
        <is>
          <t xml:space="preserve">EV-API-TEL-03.txt</t>
        </is>
      </c>
      <c r="N51" s="18">
        <v>46322</v>
      </c>
      <c r="O51" s="17" t="inlineStr">
        <is>
          <t xml:space="preserve">Automatizado</t>
        </is>
      </c>
      <c r="P51" s="17" t="inlineStr">
        <is>
          <t xml:space="preserve">Regresión en feature/frontend-mvc (eea9ee8): mismo resultado.</t>
        </is>
      </c>
    </row>
    <row r="52" spans="1:16" ht="27.95">
      <c r="A52" s="15" t="s">
        <v>324</v>
      </c>
      <c r="B52" s="15" t="s">
        <v>57</v>
      </c>
      <c r="C52" s="1" t="s">
        <v>20</v>
      </c>
      <c r="D52" s="15" t="s">
        <v>120</v>
      </c>
      <c r="E52" s="15" t="s">
        <v>99</v>
      </c>
      <c r="F52" s="15" t="s">
        <v>100</v>
      </c>
      <c r="G52" s="1" t="s">
        <v>325</v>
      </c>
      <c r="H52" s="1" t="s">
        <v>276</v>
      </c>
      <c r="I52" s="1" t="s">
        <v>326</v>
      </c>
      <c r="J52" s="1" t="s">
        <v>278</v>
      </c>
      <c r="K52" s="16" t="inlineStr">
        <is>
          <t xml:space="preserve">Aprobado</t>
        </is>
      </c>
      <c r="L52" s="17" t="inlineStr">
        <is>
          <t xml:space="preserve">HTTP 201, Location http://localhost:5025/api/telefonos/3990000001; registro guardado.</t>
        </is>
      </c>
      <c r="M52" s="17" t="inlineStr">
        <is>
          <t xml:space="preserve">EV-API-TEL-04.txt</t>
        </is>
      </c>
      <c r="N52" s="18">
        <v>46322</v>
      </c>
      <c r="O52" s="17" t="inlineStr">
        <is>
          <t xml:space="preserve">Automatizado</t>
        </is>
      </c>
      <c r="P52" s="17" t="inlineStr">
        <is>
          <t xml:space="preserve">Regresión en feature/frontend-mvc (eea9ee8): mismo resultado.</t>
        </is>
      </c>
    </row>
    <row r="53" spans="1:16" ht="27.95">
      <c r="A53" s="15" t="s">
        <v>327</v>
      </c>
      <c r="B53" s="15" t="s">
        <v>70</v>
      </c>
      <c r="C53" s="1" t="s">
        <v>20</v>
      </c>
      <c r="D53" s="15" t="s">
        <v>120</v>
      </c>
      <c r="E53" s="15" t="s">
        <v>157</v>
      </c>
      <c r="F53" s="15" t="s">
        <v>100</v>
      </c>
      <c r="G53" s="1" t="s">
        <v>280</v>
      </c>
      <c r="H53" s="1" t="s">
        <v>266</v>
      </c>
      <c r="I53" s="1" t="s">
        <v>328</v>
      </c>
      <c r="J53" s="1" t="s">
        <v>282</v>
      </c>
      <c r="K53" s="16" t="inlineStr">
        <is>
          <t xml:space="preserve">Aprobado</t>
        </is>
      </c>
      <c r="L53" s="17" t="inlineStr">
        <is>
          <t xml:space="preserve">HTTP 409: "Ya existe el telefono 3990000001."; original intacto.</t>
        </is>
      </c>
      <c r="M53" s="17" t="inlineStr">
        <is>
          <t xml:space="preserve">EV-API-TEL-05.txt</t>
        </is>
      </c>
      <c r="N53" s="18">
        <v>46322</v>
      </c>
      <c r="O53" s="17" t="inlineStr">
        <is>
          <t xml:space="preserve">Automatizado</t>
        </is>
      </c>
      <c r="P53" s="17" t="inlineStr">
        <is>
          <t xml:space="preserve">Regresión en feature/frontend-mvc (eea9ee8): mismo resultado.</t>
        </is>
      </c>
    </row>
    <row r="54" spans="1:16" ht="42">
      <c r="A54" s="15" t="s">
        <v>329</v>
      </c>
      <c r="B54" s="15" t="s">
        <v>70</v>
      </c>
      <c r="C54" s="1" t="s">
        <v>20</v>
      </c>
      <c r="D54" s="15" t="s">
        <v>120</v>
      </c>
      <c r="E54" s="15" t="s">
        <v>157</v>
      </c>
      <c r="F54" s="15" t="s">
        <v>100</v>
      </c>
      <c r="G54" s="1" t="s">
        <v>284</v>
      </c>
      <c r="H54" s="1" t="s">
        <v>285</v>
      </c>
      <c r="I54" s="1" t="s">
        <v>330</v>
      </c>
      <c r="J54" s="1" t="s">
        <v>287</v>
      </c>
      <c r="K54" s="16" t="inlineStr">
        <is>
          <t xml:space="preserve">Aprobado</t>
        </is>
      </c>
      <c r="L54" s="17" t="inlineStr">
        <is>
          <t xml:space="preserve">num vacío, num de 16, oper vacío y duenio 0 responden [400, 400, 400, 400]; no se inserta nada.</t>
        </is>
      </c>
      <c r="M54" s="17" t="inlineStr">
        <is>
          <t xml:space="preserve">EV-API-TEL-06.txt</t>
        </is>
      </c>
      <c r="N54" s="18">
        <v>46322</v>
      </c>
      <c r="O54" s="17" t="inlineStr">
        <is>
          <t xml:space="preserve">Automatizado</t>
        </is>
      </c>
      <c r="P54" s="17" t="inlineStr">
        <is>
          <t xml:space="preserve">Regresión en feature/frontend-mvc (eea9ee8): mismo resultado.</t>
        </is>
      </c>
    </row>
    <row r="55" spans="1:16" ht="27.95">
      <c r="A55" s="15" t="s">
        <v>331</v>
      </c>
      <c r="B55" s="15" t="s">
        <v>70</v>
      </c>
      <c r="C55" s="1" t="s">
        <v>20</v>
      </c>
      <c r="D55" s="15" t="s">
        <v>120</v>
      </c>
      <c r="E55" s="15" t="s">
        <v>151</v>
      </c>
      <c r="F55" s="15" t="s">
        <v>100</v>
      </c>
      <c r="G55" s="1" t="s">
        <v>332</v>
      </c>
      <c r="H55" s="1" t="s">
        <v>285</v>
      </c>
      <c r="I55" s="1" t="s">
        <v>333</v>
      </c>
      <c r="J55" s="1" t="s">
        <v>334</v>
      </c>
      <c r="K55" s="16" t="inlineStr">
        <is>
          <t xml:space="preserve">Aprobado</t>
        </is>
      </c>
      <c r="L55" s="17" t="inlineStr">
        <is>
          <t xml:space="preserve">HTTP 400: "No existe una persona con cc 999999."; no se inserta.</t>
        </is>
      </c>
      <c r="M55" s="17" t="inlineStr">
        <is>
          <t xml:space="preserve">EV-API-TEL-07.txt</t>
        </is>
      </c>
      <c r="N55" s="18">
        <v>46322</v>
      </c>
      <c r="O55" s="17" t="inlineStr">
        <is>
          <t xml:space="preserve">Automatizado</t>
        </is>
      </c>
      <c r="P55" s="17" t="inlineStr">
        <is>
          <t xml:space="preserve">Regresión en feature/frontend-mvc (eea9ee8): mismo resultado.</t>
        </is>
      </c>
    </row>
    <row r="56" spans="1:16" ht="27.95">
      <c r="A56" s="15" t="s">
        <v>335</v>
      </c>
      <c r="B56" s="15" t="s">
        <v>57</v>
      </c>
      <c r="C56" s="1" t="s">
        <v>20</v>
      </c>
      <c r="D56" s="15" t="s">
        <v>120</v>
      </c>
      <c r="E56" s="15" t="s">
        <v>99</v>
      </c>
      <c r="F56" s="15" t="s">
        <v>100</v>
      </c>
      <c r="G56" s="1" t="s">
        <v>289</v>
      </c>
      <c r="H56" s="1" t="s">
        <v>266</v>
      </c>
      <c r="I56" s="1" t="s">
        <v>336</v>
      </c>
      <c r="J56" s="1" t="s">
        <v>291</v>
      </c>
      <c r="K56" s="16" t="inlineStr">
        <is>
          <t xml:space="preserve">Aprobado</t>
        </is>
      </c>
      <c r="L56" s="17" t="inlineStr">
        <is>
          <t xml:space="preserve">HTTP 204; el GET muestra oper 'Movistar' y duenio 1004.</t>
        </is>
      </c>
      <c r="M56" s="17" t="inlineStr">
        <is>
          <t xml:space="preserve">EV-API-TEL-08.txt</t>
        </is>
      </c>
      <c r="N56" s="18">
        <v>46322</v>
      </c>
      <c r="O56" s="17" t="inlineStr">
        <is>
          <t xml:space="preserve">Automatizado</t>
        </is>
      </c>
      <c r="P56" s="17" t="inlineStr">
        <is>
          <t xml:space="preserve">Regresión en feature/frontend-mvc (eea9ee8): mismo resultado.</t>
        </is>
      </c>
    </row>
    <row r="57" spans="1:16" ht="27.95">
      <c r="A57" s="15" t="s">
        <v>337</v>
      </c>
      <c r="B57" s="15" t="s">
        <v>70</v>
      </c>
      <c r="C57" s="1" t="s">
        <v>20</v>
      </c>
      <c r="D57" s="15" t="s">
        <v>120</v>
      </c>
      <c r="E57" s="15" t="s">
        <v>157</v>
      </c>
      <c r="F57" s="15" t="s">
        <v>131</v>
      </c>
      <c r="G57" s="1" t="s">
        <v>293</v>
      </c>
      <c r="H57" s="1" t="s">
        <v>266</v>
      </c>
      <c r="I57" s="1" t="s">
        <v>338</v>
      </c>
      <c r="J57" s="1" t="s">
        <v>295</v>
      </c>
      <c r="K57" s="16" t="inlineStr">
        <is>
          <t xml:space="preserve">Aprobado</t>
        </is>
      </c>
      <c r="L57" s="17" t="inlineStr">
        <is>
          <t xml:space="preserve">HTTP 400: "El numero de la ruta no coincide con el del cuerpo.".</t>
        </is>
      </c>
      <c r="M57" s="17" t="inlineStr">
        <is>
          <t xml:space="preserve">EV-API-TEL-09.txt</t>
        </is>
      </c>
      <c r="N57" s="18">
        <v>46322</v>
      </c>
      <c r="O57" s="17" t="inlineStr">
        <is>
          <t xml:space="preserve">Automatizado</t>
        </is>
      </c>
      <c r="P57" s="17" t="inlineStr">
        <is>
          <t xml:space="preserve">Regresión en feature/frontend-mvc (eea9ee8): mismo resultado.</t>
        </is>
      </c>
    </row>
    <row r="58" spans="1:16">
      <c r="A58" s="15" t="s">
        <v>339</v>
      </c>
      <c r="B58" s="15" t="s">
        <v>57</v>
      </c>
      <c r="C58" s="1" t="s">
        <v>20</v>
      </c>
      <c r="D58" s="15" t="s">
        <v>120</v>
      </c>
      <c r="E58" s="15" t="s">
        <v>157</v>
      </c>
      <c r="F58" s="15" t="s">
        <v>131</v>
      </c>
      <c r="G58" s="1" t="s">
        <v>297</v>
      </c>
      <c r="H58" s="1" t="s">
        <v>271</v>
      </c>
      <c r="I58" s="1" t="s">
        <v>340</v>
      </c>
      <c r="J58" s="1" t="s">
        <v>273</v>
      </c>
      <c r="K58" s="16" t="inlineStr">
        <is>
          <t xml:space="preserve">Aprobado</t>
        </is>
      </c>
      <c r="L58" s="17" t="inlineStr">
        <is>
          <t xml:space="preserve">HTTP 404.</t>
        </is>
      </c>
      <c r="M58" s="17" t="inlineStr">
        <is>
          <t xml:space="preserve">EV-API-TEL-10.txt</t>
        </is>
      </c>
      <c r="N58" s="18">
        <v>46322</v>
      </c>
      <c r="O58" s="17" t="inlineStr">
        <is>
          <t xml:space="preserve">Automatizado</t>
        </is>
      </c>
      <c r="P58" s="17" t="inlineStr">
        <is>
          <t xml:space="preserve">Regresión en feature/frontend-mvc (eea9ee8): mismo resultado.</t>
        </is>
      </c>
    </row>
    <row r="59" spans="1:16" ht="27.95">
      <c r="A59" s="15" t="s">
        <v>341</v>
      </c>
      <c r="B59" s="15" t="s">
        <v>57</v>
      </c>
      <c r="C59" s="1" t="s">
        <v>20</v>
      </c>
      <c r="D59" s="15" t="s">
        <v>120</v>
      </c>
      <c r="E59" s="15" t="s">
        <v>99</v>
      </c>
      <c r="F59" s="15" t="s">
        <v>100</v>
      </c>
      <c r="G59" s="1" t="s">
        <v>300</v>
      </c>
      <c r="H59" s="1" t="s">
        <v>301</v>
      </c>
      <c r="I59" s="1" t="s">
        <v>342</v>
      </c>
      <c r="J59" s="1" t="s">
        <v>303</v>
      </c>
      <c r="K59" s="16" t="inlineStr">
        <is>
          <t xml:space="preserve">Aprobado</t>
        </is>
      </c>
      <c r="L59" s="17" t="inlineStr">
        <is>
          <t xml:space="preserve">DELETE HTTP 204; GET posterior HTTP 404.</t>
        </is>
      </c>
      <c r="M59" s="17" t="inlineStr">
        <is>
          <t xml:space="preserve">EV-API-TEL-11.txt</t>
        </is>
      </c>
      <c r="N59" s="18">
        <v>46322</v>
      </c>
      <c r="O59" s="17" t="inlineStr">
        <is>
          <t xml:space="preserve">Automatizado</t>
        </is>
      </c>
      <c r="P59" s="17" t="inlineStr">
        <is>
          <t xml:space="preserve">Regresión en feature/frontend-mvc (eea9ee8): mismo resultado.</t>
        </is>
      </c>
    </row>
    <row r="60" spans="1:16">
      <c r="A60" s="15" t="s">
        <v>343</v>
      </c>
      <c r="B60" s="15" t="s">
        <v>57</v>
      </c>
      <c r="C60" s="1" t="s">
        <v>20</v>
      </c>
      <c r="D60" s="15" t="s">
        <v>120</v>
      </c>
      <c r="E60" s="15" t="s">
        <v>157</v>
      </c>
      <c r="F60" s="15" t="s">
        <v>131</v>
      </c>
      <c r="G60" s="1" t="s">
        <v>305</v>
      </c>
      <c r="H60" s="1" t="s">
        <v>271</v>
      </c>
      <c r="I60" s="1" t="s">
        <v>344</v>
      </c>
      <c r="J60" s="1" t="s">
        <v>273</v>
      </c>
      <c r="K60" s="16" t="inlineStr">
        <is>
          <t xml:space="preserve">Aprobado</t>
        </is>
      </c>
      <c r="L60" s="17" t="inlineStr">
        <is>
          <t xml:space="preserve">HTTP 404.</t>
        </is>
      </c>
      <c r="M60" s="17" t="inlineStr">
        <is>
          <t xml:space="preserve">EV-API-TEL-12.txt</t>
        </is>
      </c>
      <c r="N60" s="18">
        <v>46322</v>
      </c>
      <c r="O60" s="17" t="inlineStr">
        <is>
          <t xml:space="preserve">Automatizado</t>
        </is>
      </c>
      <c r="P60" s="17" t="inlineStr">
        <is>
          <t xml:space="preserve">Regresión en feature/frontend-mvc (eea9ee8): mismo resultado.</t>
        </is>
      </c>
    </row>
    <row r="61" spans="1:16" ht="27.95">
      <c r="A61" s="15" t="s">
        <v>345</v>
      </c>
      <c r="B61" s="15" t="s">
        <v>57</v>
      </c>
      <c r="C61" s="1" t="s">
        <v>20</v>
      </c>
      <c r="D61" s="15" t="s">
        <v>120</v>
      </c>
      <c r="E61" s="15" t="s">
        <v>99</v>
      </c>
      <c r="F61" s="15" t="s">
        <v>131</v>
      </c>
      <c r="G61" s="1" t="s">
        <v>346</v>
      </c>
      <c r="H61" s="1" t="s">
        <v>261</v>
      </c>
      <c r="I61" s="1" t="s">
        <v>347</v>
      </c>
      <c r="J61" s="1" t="s">
        <v>348</v>
      </c>
      <c r="K61" s="16" t="inlineStr">
        <is>
          <t xml:space="preserve">Aprobado</t>
        </is>
      </c>
      <c r="L61" s="17" t="inlineStr">
        <is>
          <t xml:space="preserve">Ambos POST responden [201, 201]; la persona 1005 queda con los 2 teléfonos.</t>
        </is>
      </c>
      <c r="M61" s="17" t="inlineStr">
        <is>
          <t xml:space="preserve">EV-API-TEL-13.txt</t>
        </is>
      </c>
      <c r="N61" s="18">
        <v>46322</v>
      </c>
      <c r="O61" s="17" t="inlineStr">
        <is>
          <t xml:space="preserve">Automatizado</t>
        </is>
      </c>
      <c r="P61" s="17" t="inlineStr">
        <is>
          <t xml:space="preserve">Regresión en feature/frontend-mvc (eea9ee8): mismo resultado.</t>
        </is>
      </c>
    </row>
    <row r="62" spans="1:16" ht="27.95">
      <c r="A62" s="15" t="s">
        <v>349</v>
      </c>
      <c r="B62" s="15" t="s">
        <v>70</v>
      </c>
      <c r="C62" s="1" t="s">
        <v>20</v>
      </c>
      <c r="D62" s="15" t="s">
        <v>120</v>
      </c>
      <c r="E62" s="15" t="s">
        <v>157</v>
      </c>
      <c r="F62" s="15" t="s">
        <v>131</v>
      </c>
      <c r="G62" s="1" t="s">
        <v>350</v>
      </c>
      <c r="H62" s="1" t="s">
        <v>261</v>
      </c>
      <c r="I62" s="1" t="s">
        <v>351</v>
      </c>
      <c r="J62" s="1" t="s">
        <v>352</v>
      </c>
      <c r="K62" s="16" t="inlineStr">
        <is>
          <t xml:space="preserve">Aprobado</t>
        </is>
      </c>
      <c r="L62" s="17" t="inlineStr">
        <is>
          <t xml:space="preserve">HTTP 400: "No existe una persona con cc 999999."; conserva el duenio 1005.</t>
        </is>
      </c>
      <c r="M62" s="17" t="inlineStr">
        <is>
          <t xml:space="preserve">EV-API-TEL-14.txt</t>
        </is>
      </c>
      <c r="N62" s="18">
        <v>46322</v>
      </c>
      <c r="O62" s="17" t="inlineStr">
        <is>
          <t xml:space="preserve">Automatizado</t>
        </is>
      </c>
      <c r="P62" s="17" t="inlineStr">
        <is>
          <t xml:space="preserve">Regresión en feature/frontend-mvc (eea9ee8): mismo resultado.</t>
        </is>
      </c>
    </row>
    <row r="63" spans="1:16" ht="42">
      <c r="A63" s="15" t="s">
        <v>353</v>
      </c>
      <c r="B63" s="15" t="s">
        <v>57</v>
      </c>
      <c r="C63" s="1" t="s">
        <v>20</v>
      </c>
      <c r="D63" s="15" t="s">
        <v>120</v>
      </c>
      <c r="E63" s="15" t="s">
        <v>166</v>
      </c>
      <c r="F63" s="15" t="s">
        <v>131</v>
      </c>
      <c r="G63" s="1" t="s">
        <v>354</v>
      </c>
      <c r="H63" s="1" t="s">
        <v>261</v>
      </c>
      <c r="I63" s="1" t="s">
        <v>355</v>
      </c>
      <c r="J63" s="1" t="s">
        <v>356</v>
      </c>
      <c r="K63" s="16" t="inlineStr">
        <is>
          <t xml:space="preserve">Aprobado</t>
        </is>
      </c>
      <c r="L63" s="17" t="inlineStr">
        <is>
          <t xml:space="preserve">10 dígitos: 201; 16 caracteres: 400; con letras 'ABC123': 201.</t>
        </is>
      </c>
      <c r="M63" s="17" t="inlineStr">
        <is>
          <t xml:space="preserve">EV-API-TEL-15.txt</t>
        </is>
      </c>
      <c r="N63" s="18">
        <v>46322</v>
      </c>
      <c r="O63" s="17" t="inlineStr">
        <is>
          <t xml:space="preserve">Automatizado</t>
        </is>
      </c>
      <c r="P63" s="17" t="inlineStr">
        <is>
          <t xml:space="preserve">La API acepta números con letras: TelefonoDto solo valida longitud (StringLength 15), sin formato. Mejora sugerida: [RegularExpression("^[0-9]{7,15}$")]. Regresión en feature/frontend-mvc (eea9ee8): mismo resultado.</t>
        </is>
      </c>
    </row>
    <row r="64" spans="1:16" ht="27.95">
      <c r="A64" s="15" t="s">
        <v>357</v>
      </c>
      <c r="B64" s="15" t="s">
        <v>57</v>
      </c>
      <c r="C64" s="1" t="s">
        <v>20</v>
      </c>
      <c r="D64" s="15" t="s">
        <v>191</v>
      </c>
      <c r="E64" s="15" t="s">
        <v>99</v>
      </c>
      <c r="F64" s="15" t="s">
        <v>100</v>
      </c>
      <c r="G64" s="1" t="s">
        <v>358</v>
      </c>
      <c r="H64" s="1" t="s">
        <v>261</v>
      </c>
      <c r="I64" s="1" t="s">
        <v>359</v>
      </c>
      <c r="J64" s="1" t="s">
        <v>263</v>
      </c>
      <c r="K64" s="16" t="inlineStr">
        <is>
          <t xml:space="preserve">Aprobado</t>
        </is>
      </c>
      <c r="L64" s="17" t="inlineStr">
        <is>
          <t xml:space="preserve">HTTP 200, arreglo de 4 profesiones, igual a la tabla.</t>
        </is>
      </c>
      <c r="M64" s="17" t="inlineStr">
        <is>
          <t xml:space="preserve">EV-API-PRO-01.txt</t>
        </is>
      </c>
      <c r="N64" s="18">
        <v>46322</v>
      </c>
      <c r="O64" s="17" t="inlineStr">
        <is>
          <t xml:space="preserve">Automatizado</t>
        </is>
      </c>
      <c r="P64" s="17" t="inlineStr">
        <is>
          <t xml:space="preserve">Regresión en feature/frontend-mvc (eea9ee8): mismo resultado.</t>
        </is>
      </c>
    </row>
    <row r="65" spans="1:16" ht="27.95">
      <c r="A65" s="15" t="s">
        <v>360</v>
      </c>
      <c r="B65" s="15" t="s">
        <v>57</v>
      </c>
      <c r="C65" s="1" t="s">
        <v>20</v>
      </c>
      <c r="D65" s="15" t="s">
        <v>191</v>
      </c>
      <c r="E65" s="15" t="s">
        <v>99</v>
      </c>
      <c r="F65" s="15" t="s">
        <v>100</v>
      </c>
      <c r="G65" s="1" t="s">
        <v>361</v>
      </c>
      <c r="H65" s="1" t="s">
        <v>266</v>
      </c>
      <c r="I65" s="1" t="s">
        <v>362</v>
      </c>
      <c r="J65" s="1" t="s">
        <v>268</v>
      </c>
      <c r="K65" s="16" t="inlineStr">
        <is>
          <t xml:space="preserve">Aprobado</t>
        </is>
      </c>
      <c r="L65" s="17" t="inlineStr">
        <is>
          <t xml:space="preserve">HTTP 200 con id, nom y des.</t>
        </is>
      </c>
      <c r="M65" s="17" t="inlineStr">
        <is>
          <t xml:space="preserve">EV-API-PRO-02.txt</t>
        </is>
      </c>
      <c r="N65" s="18">
        <v>46322</v>
      </c>
      <c r="O65" s="17" t="inlineStr">
        <is>
          <t xml:space="preserve">Automatizado</t>
        </is>
      </c>
      <c r="P65" s="17" t="inlineStr">
        <is>
          <t xml:space="preserve">Regresión en feature/frontend-mvc (eea9ee8): mismo resultado.</t>
        </is>
      </c>
    </row>
    <row r="66" spans="1:16">
      <c r="A66" s="15" t="s">
        <v>363</v>
      </c>
      <c r="B66" s="15" t="s">
        <v>57</v>
      </c>
      <c r="C66" s="1" t="s">
        <v>20</v>
      </c>
      <c r="D66" s="15" t="s">
        <v>191</v>
      </c>
      <c r="E66" s="15" t="s">
        <v>157</v>
      </c>
      <c r="F66" s="15" t="s">
        <v>100</v>
      </c>
      <c r="G66" s="1" t="s">
        <v>270</v>
      </c>
      <c r="H66" s="1" t="s">
        <v>271</v>
      </c>
      <c r="I66" s="1" t="s">
        <v>364</v>
      </c>
      <c r="J66" s="1" t="s">
        <v>273</v>
      </c>
      <c r="K66" s="16" t="inlineStr">
        <is>
          <t xml:space="preserve">Aprobado</t>
        </is>
      </c>
      <c r="L66" s="17" t="inlineStr">
        <is>
          <t xml:space="preserve">HTTP 404.</t>
        </is>
      </c>
      <c r="M66" s="17" t="inlineStr">
        <is>
          <t xml:space="preserve">EV-API-PRO-03.txt</t>
        </is>
      </c>
      <c r="N66" s="18">
        <v>46322</v>
      </c>
      <c r="O66" s="17" t="inlineStr">
        <is>
          <t xml:space="preserve">Automatizado</t>
        </is>
      </c>
      <c r="P66" s="17" t="inlineStr">
        <is>
          <t xml:space="preserve">Regresión en feature/frontend-mvc (eea9ee8): mismo resultado.</t>
        </is>
      </c>
    </row>
    <row r="67" spans="1:16" ht="27.95">
      <c r="A67" s="15" t="s">
        <v>365</v>
      </c>
      <c r="B67" s="15" t="s">
        <v>57</v>
      </c>
      <c r="C67" s="1" t="s">
        <v>20</v>
      </c>
      <c r="D67" s="15" t="s">
        <v>191</v>
      </c>
      <c r="E67" s="15" t="s">
        <v>99</v>
      </c>
      <c r="F67" s="15" t="s">
        <v>100</v>
      </c>
      <c r="G67" s="1" t="s">
        <v>366</v>
      </c>
      <c r="H67" s="1" t="s">
        <v>276</v>
      </c>
      <c r="I67" s="1" t="s">
        <v>367</v>
      </c>
      <c r="J67" s="1" t="s">
        <v>278</v>
      </c>
      <c r="K67" s="16" t="inlineStr">
        <is>
          <t xml:space="preserve">Aprobado</t>
        </is>
      </c>
      <c r="L67" s="17" t="inlineStr">
        <is>
          <t xml:space="preserve">HTTP 201, Location http://localhost:5025/api/profesiones/901; registro guardado.</t>
        </is>
      </c>
      <c r="M67" s="17" t="inlineStr">
        <is>
          <t xml:space="preserve">EV-API-PRO-04.txt</t>
        </is>
      </c>
      <c r="N67" s="18">
        <v>46322</v>
      </c>
      <c r="O67" s="17" t="inlineStr">
        <is>
          <t xml:space="preserve">Automatizado</t>
        </is>
      </c>
      <c r="P67" s="17" t="inlineStr">
        <is>
          <t xml:space="preserve">Regresión en feature/frontend-mvc (eea9ee8): mismo resultado.</t>
        </is>
      </c>
    </row>
    <row r="68" spans="1:16" ht="27.95">
      <c r="A68" s="15" t="s">
        <v>368</v>
      </c>
      <c r="B68" s="15" t="s">
        <v>70</v>
      </c>
      <c r="C68" s="1" t="s">
        <v>20</v>
      </c>
      <c r="D68" s="15" t="s">
        <v>191</v>
      </c>
      <c r="E68" s="15" t="s">
        <v>157</v>
      </c>
      <c r="F68" s="15" t="s">
        <v>100</v>
      </c>
      <c r="G68" s="1" t="s">
        <v>280</v>
      </c>
      <c r="H68" s="1" t="s">
        <v>266</v>
      </c>
      <c r="I68" s="1" t="s">
        <v>369</v>
      </c>
      <c r="J68" s="1" t="s">
        <v>282</v>
      </c>
      <c r="K68" s="16" t="inlineStr">
        <is>
          <t xml:space="preserve">Aprobado</t>
        </is>
      </c>
      <c r="L68" s="17" t="inlineStr">
        <is>
          <t xml:space="preserve">HTTP 409: "Ya existe una profesion con id 901."; original intacto.</t>
        </is>
      </c>
      <c r="M68" s="17" t="inlineStr">
        <is>
          <t xml:space="preserve">EV-API-PRO-05.txt</t>
        </is>
      </c>
      <c r="N68" s="18">
        <v>46322</v>
      </c>
      <c r="O68" s="17" t="inlineStr">
        <is>
          <t xml:space="preserve">Automatizado</t>
        </is>
      </c>
      <c r="P68" s="17" t="inlineStr">
        <is>
          <t xml:space="preserve">Regresión en feature/frontend-mvc (eea9ee8): mismo resultado.</t>
        </is>
      </c>
    </row>
    <row r="69" spans="1:16" ht="27.95">
      <c r="A69" s="15" t="s">
        <v>370</v>
      </c>
      <c r="B69" s="15" t="s">
        <v>70</v>
      </c>
      <c r="C69" s="1" t="s">
        <v>20</v>
      </c>
      <c r="D69" s="15" t="s">
        <v>191</v>
      </c>
      <c r="E69" s="15" t="s">
        <v>157</v>
      </c>
      <c r="F69" s="15" t="s">
        <v>100</v>
      </c>
      <c r="G69" s="1" t="s">
        <v>284</v>
      </c>
      <c r="H69" s="1" t="s">
        <v>285</v>
      </c>
      <c r="I69" s="1" t="s">
        <v>371</v>
      </c>
      <c r="J69" s="1" t="s">
        <v>287</v>
      </c>
      <c r="K69" s="16" t="inlineStr">
        <is>
          <t xml:space="preserve">Aprobado</t>
        </is>
      </c>
      <c r="L69" s="17" t="inlineStr">
        <is>
          <t xml:space="preserve">nom vacío, nom de 91 e id 0 responden [400, 400, 400]; no se inserta nada.</t>
        </is>
      </c>
      <c r="M69" s="17" t="inlineStr">
        <is>
          <t xml:space="preserve">EV-API-PRO-06.txt</t>
        </is>
      </c>
      <c r="N69" s="18">
        <v>46322</v>
      </c>
      <c r="O69" s="17" t="inlineStr">
        <is>
          <t xml:space="preserve">Automatizado</t>
        </is>
      </c>
      <c r="P69" s="17" t="inlineStr">
        <is>
          <t xml:space="preserve">Regresión en feature/frontend-mvc (eea9ee8): mismo resultado.</t>
        </is>
      </c>
    </row>
    <row r="70" spans="1:16" ht="27.95">
      <c r="A70" s="15" t="s">
        <v>372</v>
      </c>
      <c r="B70" s="15" t="s">
        <v>57</v>
      </c>
      <c r="C70" s="1" t="s">
        <v>20</v>
      </c>
      <c r="D70" s="15" t="s">
        <v>191</v>
      </c>
      <c r="E70" s="15" t="s">
        <v>99</v>
      </c>
      <c r="F70" s="15" t="s">
        <v>100</v>
      </c>
      <c r="G70" s="1" t="s">
        <v>289</v>
      </c>
      <c r="H70" s="1" t="s">
        <v>266</v>
      </c>
      <c r="I70" s="1" t="s">
        <v>373</v>
      </c>
      <c r="J70" s="1" t="s">
        <v>291</v>
      </c>
      <c r="K70" s="16" t="inlineStr">
        <is>
          <t xml:space="preserve">Aprobado</t>
        </is>
      </c>
      <c r="L70" s="17" t="inlineStr">
        <is>
          <t xml:space="preserve">HTTP 204; el GET muestra nom 'Editada'.</t>
        </is>
      </c>
      <c r="M70" s="17" t="inlineStr">
        <is>
          <t xml:space="preserve">EV-API-PRO-07.txt</t>
        </is>
      </c>
      <c r="N70" s="18">
        <v>46322</v>
      </c>
      <c r="O70" s="17" t="inlineStr">
        <is>
          <t xml:space="preserve">Automatizado</t>
        </is>
      </c>
      <c r="P70" s="17" t="inlineStr">
        <is>
          <t xml:space="preserve">Regresión en feature/frontend-mvc (eea9ee8): mismo resultado.</t>
        </is>
      </c>
    </row>
    <row r="71" spans="1:16" ht="27.95">
      <c r="A71" s="15" t="s">
        <v>374</v>
      </c>
      <c r="B71" s="15" t="s">
        <v>70</v>
      </c>
      <c r="C71" s="1" t="s">
        <v>20</v>
      </c>
      <c r="D71" s="15" t="s">
        <v>191</v>
      </c>
      <c r="E71" s="15" t="s">
        <v>157</v>
      </c>
      <c r="F71" s="15" t="s">
        <v>131</v>
      </c>
      <c r="G71" s="1" t="s">
        <v>293</v>
      </c>
      <c r="H71" s="1" t="s">
        <v>266</v>
      </c>
      <c r="I71" s="1" t="s">
        <v>375</v>
      </c>
      <c r="J71" s="1" t="s">
        <v>295</v>
      </c>
      <c r="K71" s="16" t="inlineStr">
        <is>
          <t xml:space="preserve">Aprobado</t>
        </is>
      </c>
      <c r="L71" s="17" t="inlineStr">
        <is>
          <t xml:space="preserve">HTTP 400: "El id de la ruta no coincide con el del cuerpo.".</t>
        </is>
      </c>
      <c r="M71" s="17" t="inlineStr">
        <is>
          <t xml:space="preserve">EV-API-PRO-08.txt</t>
        </is>
      </c>
      <c r="N71" s="18">
        <v>46322</v>
      </c>
      <c r="O71" s="17" t="inlineStr">
        <is>
          <t xml:space="preserve">Automatizado</t>
        </is>
      </c>
      <c r="P71" s="17" t="inlineStr">
        <is>
          <t xml:space="preserve">Regresión en feature/frontend-mvc (eea9ee8): mismo resultado.</t>
        </is>
      </c>
    </row>
    <row r="72" spans="1:16" ht="27.95">
      <c r="A72" s="15" t="s">
        <v>376</v>
      </c>
      <c r="B72" s="15" t="s">
        <v>57</v>
      </c>
      <c r="C72" s="1" t="s">
        <v>20</v>
      </c>
      <c r="D72" s="15" t="s">
        <v>191</v>
      </c>
      <c r="E72" s="15" t="s">
        <v>157</v>
      </c>
      <c r="F72" s="15" t="s">
        <v>131</v>
      </c>
      <c r="G72" s="1" t="s">
        <v>297</v>
      </c>
      <c r="H72" s="1" t="s">
        <v>271</v>
      </c>
      <c r="I72" s="1" t="s">
        <v>377</v>
      </c>
      <c r="J72" s="1" t="s">
        <v>273</v>
      </c>
      <c r="K72" s="16" t="inlineStr">
        <is>
          <t xml:space="preserve">Aprobado</t>
        </is>
      </c>
      <c r="L72" s="17" t="inlineStr">
        <is>
          <t xml:space="preserve">HTTP 404.</t>
        </is>
      </c>
      <c r="M72" s="17" t="inlineStr">
        <is>
          <t xml:space="preserve">EV-API-PRO-09.txt</t>
        </is>
      </c>
      <c r="N72" s="18">
        <v>46322</v>
      </c>
      <c r="O72" s="17" t="inlineStr">
        <is>
          <t xml:space="preserve">Automatizado</t>
        </is>
      </c>
      <c r="P72" s="17" t="inlineStr">
        <is>
          <t xml:space="preserve">Regresión en feature/frontend-mvc (eea9ee8): mismo resultado.</t>
        </is>
      </c>
    </row>
    <row r="73" spans="1:16" ht="27.95">
      <c r="A73" s="15" t="s">
        <v>378</v>
      </c>
      <c r="B73" s="15" t="s">
        <v>57</v>
      </c>
      <c r="C73" s="1" t="s">
        <v>20</v>
      </c>
      <c r="D73" s="15" t="s">
        <v>191</v>
      </c>
      <c r="E73" s="15" t="s">
        <v>99</v>
      </c>
      <c r="F73" s="15" t="s">
        <v>100</v>
      </c>
      <c r="G73" s="1" t="s">
        <v>300</v>
      </c>
      <c r="H73" s="1" t="s">
        <v>301</v>
      </c>
      <c r="I73" s="1" t="s">
        <v>379</v>
      </c>
      <c r="J73" s="1" t="s">
        <v>303</v>
      </c>
      <c r="K73" s="16" t="inlineStr">
        <is>
          <t xml:space="preserve">Aprobado</t>
        </is>
      </c>
      <c r="L73" s="17" t="inlineStr">
        <is>
          <t xml:space="preserve">DELETE HTTP 204; GET posterior HTTP 404.</t>
        </is>
      </c>
      <c r="M73" s="17" t="inlineStr">
        <is>
          <t xml:space="preserve">EV-API-PRO-10.txt</t>
        </is>
      </c>
      <c r="N73" s="18">
        <v>46322</v>
      </c>
      <c r="O73" s="17" t="inlineStr">
        <is>
          <t xml:space="preserve">Automatizado</t>
        </is>
      </c>
      <c r="P73" s="17" t="inlineStr">
        <is>
          <t xml:space="preserve">Regresión en feature/frontend-mvc (eea9ee8): mismo resultado.</t>
        </is>
      </c>
    </row>
    <row r="74" spans="1:16">
      <c r="A74" s="15" t="s">
        <v>380</v>
      </c>
      <c r="B74" s="15" t="s">
        <v>57</v>
      </c>
      <c r="C74" s="1" t="s">
        <v>20</v>
      </c>
      <c r="D74" s="15" t="s">
        <v>191</v>
      </c>
      <c r="E74" s="15" t="s">
        <v>157</v>
      </c>
      <c r="F74" s="15" t="s">
        <v>131</v>
      </c>
      <c r="G74" s="1" t="s">
        <v>305</v>
      </c>
      <c r="H74" s="1" t="s">
        <v>271</v>
      </c>
      <c r="I74" s="1" t="s">
        <v>381</v>
      </c>
      <c r="J74" s="1" t="s">
        <v>273</v>
      </c>
      <c r="K74" s="16" t="inlineStr">
        <is>
          <t xml:space="preserve">Aprobado</t>
        </is>
      </c>
      <c r="L74" s="17" t="inlineStr">
        <is>
          <t xml:space="preserve">HTTP 404.</t>
        </is>
      </c>
      <c r="M74" s="17" t="inlineStr">
        <is>
          <t xml:space="preserve">EV-API-PRO-11.txt</t>
        </is>
      </c>
      <c r="N74" s="18">
        <v>46322</v>
      </c>
      <c r="O74" s="17" t="inlineStr">
        <is>
          <t xml:space="preserve">Automatizado</t>
        </is>
      </c>
      <c r="P74" s="17" t="inlineStr">
        <is>
          <t xml:space="preserve">Regresión en feature/frontend-mvc (eea9ee8): mismo resultado.</t>
        </is>
      </c>
    </row>
    <row r="75" spans="1:16" ht="27.95">
      <c r="A75" s="15" t="s">
        <v>382</v>
      </c>
      <c r="B75" s="15" t="s">
        <v>70</v>
      </c>
      <c r="C75" s="1" t="s">
        <v>20</v>
      </c>
      <c r="D75" s="15" t="s">
        <v>191</v>
      </c>
      <c r="E75" s="15" t="s">
        <v>151</v>
      </c>
      <c r="F75" s="15" t="s">
        <v>100</v>
      </c>
      <c r="G75" s="1" t="s">
        <v>383</v>
      </c>
      <c r="H75" s="1" t="s">
        <v>309</v>
      </c>
      <c r="I75" s="1" t="s">
        <v>384</v>
      </c>
      <c r="J75" s="1" t="s">
        <v>311</v>
      </c>
      <c r="K75" s="16" t="inlineStr">
        <is>
          <t xml:space="preserve">Aprobado</t>
        </is>
      </c>
      <c r="L75" s="17" t="inlineStr">
        <is>
          <t xml:space="preserve">HTTP 409: "No se puede eliminar la profesion porque tiene estudios asociados."; la profesión 1 y sus estudios permanecen.</t>
        </is>
      </c>
      <c r="M75" s="17" t="inlineStr">
        <is>
          <t xml:space="preserve">EV-API-PRO-12.txt</t>
        </is>
      </c>
      <c r="N75" s="18">
        <v>46322</v>
      </c>
      <c r="O75" s="17" t="inlineStr">
        <is>
          <t xml:space="preserve">Automatizado</t>
        </is>
      </c>
      <c r="P75" s="17" t="inlineStr">
        <is>
          <t xml:space="preserve">Regresión en feature/frontend-mvc (eea9ee8): mismo resultado.</t>
        </is>
      </c>
    </row>
    <row r="76" spans="1:16" ht="27.95">
      <c r="A76" s="15" t="s">
        <v>385</v>
      </c>
      <c r="B76" s="15" t="s">
        <v>57</v>
      </c>
      <c r="C76" s="1" t="s">
        <v>20</v>
      </c>
      <c r="D76" s="15" t="s">
        <v>191</v>
      </c>
      <c r="E76" s="15" t="s">
        <v>99</v>
      </c>
      <c r="F76" s="15" t="s">
        <v>212</v>
      </c>
      <c r="G76" s="1" t="s">
        <v>386</v>
      </c>
      <c r="H76" s="1" t="s">
        <v>261</v>
      </c>
      <c r="I76" s="1" t="s">
        <v>387</v>
      </c>
      <c r="J76" s="1" t="s">
        <v>388</v>
      </c>
      <c r="K76" s="16" t="inlineStr">
        <is>
          <t xml:space="preserve">Aprobado</t>
        </is>
      </c>
      <c r="L76" s="17" t="inlineStr">
        <is>
          <t xml:space="preserve">Sin des: 201; des de 10500 caracteres: 201 y se conserva completa (10500 caracteres).</t>
        </is>
      </c>
      <c r="M76" s="17" t="inlineStr">
        <is>
          <t xml:space="preserve">EV-API-PRO-13.txt</t>
        </is>
      </c>
      <c r="N76" s="18">
        <v>46322</v>
      </c>
      <c r="O76" s="17" t="inlineStr">
        <is>
          <t xml:space="preserve">Automatizado</t>
        </is>
      </c>
      <c r="P76" s="17" t="inlineStr">
        <is>
          <t xml:space="preserve">Regresión en feature/frontend-mvc (eea9ee8): mismo resultado.</t>
        </is>
      </c>
    </row>
    <row r="77" spans="1:16" ht="27.95">
      <c r="A77" s="15" t="s">
        <v>389</v>
      </c>
      <c r="B77" s="15" t="s">
        <v>57</v>
      </c>
      <c r="C77" s="1" t="s">
        <v>20</v>
      </c>
      <c r="D77" s="15" t="s">
        <v>125</v>
      </c>
      <c r="E77" s="15" t="s">
        <v>99</v>
      </c>
      <c r="F77" s="15" t="s">
        <v>100</v>
      </c>
      <c r="G77" s="1" t="s">
        <v>390</v>
      </c>
      <c r="H77" s="1" t="s">
        <v>261</v>
      </c>
      <c r="I77" s="1" t="s">
        <v>391</v>
      </c>
      <c r="J77" s="1" t="s">
        <v>263</v>
      </c>
      <c r="K77" s="16" t="inlineStr">
        <is>
          <t xml:space="preserve">Aprobado</t>
        </is>
      </c>
      <c r="L77" s="17" t="inlineStr">
        <is>
          <t xml:space="preserve">HTTP 200, arreglo de 6 estudios, igual a la tabla.</t>
        </is>
      </c>
      <c r="M77" s="17" t="inlineStr">
        <is>
          <t xml:space="preserve">EV-API-EST-01.txt</t>
        </is>
      </c>
      <c r="N77" s="18">
        <v>46322</v>
      </c>
      <c r="O77" s="17" t="inlineStr">
        <is>
          <t xml:space="preserve">Automatizado</t>
        </is>
      </c>
      <c r="P77" s="17" t="inlineStr">
        <is>
          <t xml:space="preserve">Regresión en feature/frontend-mvc (eea9ee8): mismo resultado.</t>
        </is>
      </c>
    </row>
    <row r="78" spans="1:16" ht="27.95">
      <c r="A78" s="15" t="s">
        <v>392</v>
      </c>
      <c r="B78" s="15" t="s">
        <v>57</v>
      </c>
      <c r="C78" s="1" t="s">
        <v>20</v>
      </c>
      <c r="D78" s="15" t="s">
        <v>125</v>
      </c>
      <c r="E78" s="15" t="s">
        <v>99</v>
      </c>
      <c r="F78" s="15" t="s">
        <v>100</v>
      </c>
      <c r="G78" s="1" t="s">
        <v>393</v>
      </c>
      <c r="H78" s="1" t="s">
        <v>266</v>
      </c>
      <c r="I78" s="1" t="s">
        <v>394</v>
      </c>
      <c r="J78" s="1" t="s">
        <v>268</v>
      </c>
      <c r="K78" s="16" t="inlineStr">
        <is>
          <t xml:space="preserve">Aprobado</t>
        </is>
      </c>
      <c r="L78" s="17" t="inlineStr">
        <is>
          <t xml:space="preserve">HTTP 200 con idProf, ccPer, fecha y univer.</t>
        </is>
      </c>
      <c r="M78" s="17" t="inlineStr">
        <is>
          <t xml:space="preserve">EV-API-EST-02.txt</t>
        </is>
      </c>
      <c r="N78" s="18">
        <v>46322</v>
      </c>
      <c r="O78" s="17" t="inlineStr">
        <is>
          <t xml:space="preserve">Automatizado</t>
        </is>
      </c>
      <c r="P78" s="17" t="inlineStr">
        <is>
          <t xml:space="preserve">Regresión en feature/frontend-mvc (eea9ee8): mismo resultado.</t>
        </is>
      </c>
    </row>
    <row r="79" spans="1:16">
      <c r="A79" s="15" t="s">
        <v>395</v>
      </c>
      <c r="B79" s="15" t="s">
        <v>57</v>
      </c>
      <c r="C79" s="1" t="s">
        <v>20</v>
      </c>
      <c r="D79" s="15" t="s">
        <v>125</v>
      </c>
      <c r="E79" s="15" t="s">
        <v>157</v>
      </c>
      <c r="F79" s="15" t="s">
        <v>100</v>
      </c>
      <c r="G79" s="1" t="s">
        <v>270</v>
      </c>
      <c r="H79" s="1" t="s">
        <v>271</v>
      </c>
      <c r="I79" s="1" t="s">
        <v>396</v>
      </c>
      <c r="J79" s="1" t="s">
        <v>273</v>
      </c>
      <c r="K79" s="16" t="inlineStr">
        <is>
          <t xml:space="preserve">Aprobado</t>
        </is>
      </c>
      <c r="L79" s="17" t="inlineStr">
        <is>
          <t xml:space="preserve">HTTP 404 para el par (4, 1001).</t>
        </is>
      </c>
      <c r="M79" s="17" t="inlineStr">
        <is>
          <t xml:space="preserve">EV-API-EST-03.txt</t>
        </is>
      </c>
      <c r="N79" s="18">
        <v>46322</v>
      </c>
      <c r="O79" s="17" t="inlineStr">
        <is>
          <t xml:space="preserve">Automatizado</t>
        </is>
      </c>
      <c r="P79" s="17" t="inlineStr">
        <is>
          <t xml:space="preserve">Regresión en feature/frontend-mvc (eea9ee8): mismo resultado.</t>
        </is>
      </c>
    </row>
    <row r="80" spans="1:16" ht="27.95">
      <c r="A80" s="15" t="s">
        <v>397</v>
      </c>
      <c r="B80" s="15" t="s">
        <v>57</v>
      </c>
      <c r="C80" s="1" t="s">
        <v>20</v>
      </c>
      <c r="D80" s="15" t="s">
        <v>125</v>
      </c>
      <c r="E80" s="15" t="s">
        <v>99</v>
      </c>
      <c r="F80" s="15" t="s">
        <v>100</v>
      </c>
      <c r="G80" s="1" t="s">
        <v>398</v>
      </c>
      <c r="H80" s="1" t="s">
        <v>276</v>
      </c>
      <c r="I80" s="1" t="s">
        <v>399</v>
      </c>
      <c r="J80" s="1" t="s">
        <v>278</v>
      </c>
      <c r="K80" s="16" t="inlineStr">
        <is>
          <t xml:space="preserve">Aprobado</t>
        </is>
      </c>
      <c r="L80" s="17" t="inlineStr">
        <is>
          <t xml:space="preserve">HTTP 201, Location http://localhost:5025/api/estudios/2/1005; registro guardado.</t>
        </is>
      </c>
      <c r="M80" s="17" t="inlineStr">
        <is>
          <t xml:space="preserve">EV-API-EST-04.txt</t>
        </is>
      </c>
      <c r="N80" s="18">
        <v>46322</v>
      </c>
      <c r="O80" s="17" t="inlineStr">
        <is>
          <t xml:space="preserve">Automatizado</t>
        </is>
      </c>
      <c r="P80" s="17" t="inlineStr">
        <is>
          <t xml:space="preserve">Regresión en feature/frontend-mvc (eea9ee8): mismo resultado.</t>
        </is>
      </c>
    </row>
    <row r="81" spans="1:16" ht="27.95">
      <c r="A81" s="15" t="s">
        <v>400</v>
      </c>
      <c r="B81" s="15" t="s">
        <v>70</v>
      </c>
      <c r="C81" s="1" t="s">
        <v>20</v>
      </c>
      <c r="D81" s="15" t="s">
        <v>125</v>
      </c>
      <c r="E81" s="15" t="s">
        <v>157</v>
      </c>
      <c r="F81" s="15" t="s">
        <v>100</v>
      </c>
      <c r="G81" s="1" t="s">
        <v>280</v>
      </c>
      <c r="H81" s="1" t="s">
        <v>266</v>
      </c>
      <c r="I81" s="1" t="s">
        <v>401</v>
      </c>
      <c r="J81" s="1" t="s">
        <v>282</v>
      </c>
      <c r="K81" s="16" t="inlineStr">
        <is>
          <t xml:space="preserve">Aprobado</t>
        </is>
      </c>
      <c r="L81" s="17" t="inlineStr">
        <is>
          <t xml:space="preserve">HTTP 409: "Ya existe un estudio para la profesion 2 y la persona 1005."; original intacto.</t>
        </is>
      </c>
      <c r="M81" s="17" t="inlineStr">
        <is>
          <t xml:space="preserve">EV-API-EST-05.txt</t>
        </is>
      </c>
      <c r="N81" s="18">
        <v>46322</v>
      </c>
      <c r="O81" s="17" t="inlineStr">
        <is>
          <t xml:space="preserve">Automatizado</t>
        </is>
      </c>
      <c r="P81" s="17" t="inlineStr">
        <is>
          <t xml:space="preserve">Regresión en feature/frontend-mvc (eea9ee8): mismo resultado.</t>
        </is>
      </c>
    </row>
    <row r="82" spans="1:16" ht="42">
      <c r="A82" s="15" t="s">
        <v>402</v>
      </c>
      <c r="B82" s="15" t="s">
        <v>70</v>
      </c>
      <c r="C82" s="1" t="s">
        <v>20</v>
      </c>
      <c r="D82" s="15" t="s">
        <v>125</v>
      </c>
      <c r="E82" s="15" t="s">
        <v>157</v>
      </c>
      <c r="F82" s="15" t="s">
        <v>100</v>
      </c>
      <c r="G82" s="1" t="s">
        <v>284</v>
      </c>
      <c r="H82" s="1" t="s">
        <v>285</v>
      </c>
      <c r="I82" s="1" t="s">
        <v>403</v>
      </c>
      <c r="J82" s="1" t="s">
        <v>287</v>
      </c>
      <c r="K82" s="16" t="inlineStr">
        <is>
          <t xml:space="preserve">Aprobado</t>
        </is>
      </c>
      <c r="L82" s="17" t="inlineStr">
        <is>
          <t xml:space="preserve">univer de 51, idProf 0, ccPer 0 y fechas '2022-13-45' y '30/06/2022' responden [400, 400, 400, 400, 400]; no se inserta nada.</t>
        </is>
      </c>
      <c r="M82" s="17" t="inlineStr">
        <is>
          <t xml:space="preserve">EV-API-EST-06.txt</t>
        </is>
      </c>
      <c r="N82" s="18">
        <v>46322</v>
      </c>
      <c r="O82" s="17" t="inlineStr">
        <is>
          <t xml:space="preserve">Automatizado</t>
        </is>
      </c>
      <c r="P82" s="17" t="inlineStr">
        <is>
          <t xml:space="preserve">Control adicional: una fecha futura (2099-01-01) responde 201; no hay validación de fechas futuras. Regresión en feature/frontend-mvc (eea9ee8): mismo resultado.</t>
        </is>
      </c>
    </row>
    <row r="83" spans="1:16" ht="27.95">
      <c r="A83" s="15" t="s">
        <v>404</v>
      </c>
      <c r="B83" s="15" t="s">
        <v>70</v>
      </c>
      <c r="C83" s="1" t="s">
        <v>20</v>
      </c>
      <c r="D83" s="15" t="s">
        <v>125</v>
      </c>
      <c r="E83" s="15" t="s">
        <v>151</v>
      </c>
      <c r="F83" s="15" t="s">
        <v>100</v>
      </c>
      <c r="G83" s="1" t="s">
        <v>332</v>
      </c>
      <c r="H83" s="1" t="s">
        <v>285</v>
      </c>
      <c r="I83" s="1" t="s">
        <v>405</v>
      </c>
      <c r="J83" s="1" t="s">
        <v>334</v>
      </c>
      <c r="K83" s="16" t="inlineStr">
        <is>
          <t xml:space="preserve">Aprobado</t>
        </is>
      </c>
      <c r="L83" s="17" t="inlineStr">
        <is>
          <t xml:space="preserve">idProf inexistente: 400 "No existe una profesion con id 999."; ccPer inexistente: 400 "No existe una persona con cc 999999.".</t>
        </is>
      </c>
      <c r="M83" s="17" t="inlineStr">
        <is>
          <t xml:space="preserve">EV-API-EST-07.txt</t>
        </is>
      </c>
      <c r="N83" s="18">
        <v>46322</v>
      </c>
      <c r="O83" s="17" t="inlineStr">
        <is>
          <t xml:space="preserve">Automatizado</t>
        </is>
      </c>
      <c r="P83" s="17" t="inlineStr">
        <is>
          <t xml:space="preserve">Regresión en feature/frontend-mvc (eea9ee8): mismo resultado.</t>
        </is>
      </c>
    </row>
    <row r="84" spans="1:16" ht="27.95">
      <c r="A84" s="15" t="s">
        <v>406</v>
      </c>
      <c r="B84" s="15" t="s">
        <v>57</v>
      </c>
      <c r="C84" s="1" t="s">
        <v>20</v>
      </c>
      <c r="D84" s="15" t="s">
        <v>125</v>
      </c>
      <c r="E84" s="15" t="s">
        <v>99</v>
      </c>
      <c r="F84" s="15" t="s">
        <v>100</v>
      </c>
      <c r="G84" s="1" t="s">
        <v>289</v>
      </c>
      <c r="H84" s="1" t="s">
        <v>266</v>
      </c>
      <c r="I84" s="1" t="s">
        <v>407</v>
      </c>
      <c r="J84" s="1" t="s">
        <v>291</v>
      </c>
      <c r="K84" s="16" t="inlineStr">
        <is>
          <t xml:space="preserve">Aprobado</t>
        </is>
      </c>
      <c r="L84" s="17" t="inlineStr">
        <is>
          <t xml:space="preserve">HTTP 204; el GET muestra univer 'Editada' y fecha 2023-01-15.</t>
        </is>
      </c>
      <c r="M84" s="17" t="inlineStr">
        <is>
          <t xml:space="preserve">EV-API-EST-08.txt</t>
        </is>
      </c>
      <c r="N84" s="18">
        <v>46322</v>
      </c>
      <c r="O84" s="17" t="inlineStr">
        <is>
          <t xml:space="preserve">Automatizado</t>
        </is>
      </c>
      <c r="P84" s="17" t="inlineStr">
        <is>
          <t xml:space="preserve">Regresión en feature/frontend-mvc (eea9ee8): mismo resultado.</t>
        </is>
      </c>
    </row>
    <row r="85" spans="1:16" ht="27.95">
      <c r="A85" s="15" t="s">
        <v>408</v>
      </c>
      <c r="B85" s="15" t="s">
        <v>70</v>
      </c>
      <c r="C85" s="1" t="s">
        <v>20</v>
      </c>
      <c r="D85" s="15" t="s">
        <v>125</v>
      </c>
      <c r="E85" s="15" t="s">
        <v>157</v>
      </c>
      <c r="F85" s="15" t="s">
        <v>131</v>
      </c>
      <c r="G85" s="1" t="s">
        <v>293</v>
      </c>
      <c r="H85" s="1" t="s">
        <v>266</v>
      </c>
      <c r="I85" s="1" t="s">
        <v>409</v>
      </c>
      <c r="J85" s="1" t="s">
        <v>295</v>
      </c>
      <c r="K85" s="16" t="inlineStr">
        <is>
          <t xml:space="preserve">Aprobado</t>
        </is>
      </c>
      <c r="L85" s="17" t="inlineStr">
        <is>
          <t xml:space="preserve">HTTP 400: "La clave de la ruta no coincide con la del cuerpo.".</t>
        </is>
      </c>
      <c r="M85" s="17" t="inlineStr">
        <is>
          <t xml:space="preserve">EV-API-EST-09.txt</t>
        </is>
      </c>
      <c r="N85" s="18">
        <v>46322</v>
      </c>
      <c r="O85" s="17" t="inlineStr">
        <is>
          <t xml:space="preserve">Automatizado</t>
        </is>
      </c>
      <c r="P85" s="17" t="inlineStr">
        <is>
          <t xml:space="preserve">Regresión en feature/frontend-mvc (eea9ee8): mismo resultado.</t>
        </is>
      </c>
    </row>
    <row r="86" spans="1:16">
      <c r="A86" s="15" t="s">
        <v>410</v>
      </c>
      <c r="B86" s="15" t="s">
        <v>57</v>
      </c>
      <c r="C86" s="1" t="s">
        <v>20</v>
      </c>
      <c r="D86" s="15" t="s">
        <v>125</v>
      </c>
      <c r="E86" s="15" t="s">
        <v>157</v>
      </c>
      <c r="F86" s="15" t="s">
        <v>131</v>
      </c>
      <c r="G86" s="1" t="s">
        <v>297</v>
      </c>
      <c r="H86" s="1" t="s">
        <v>271</v>
      </c>
      <c r="I86" s="1" t="s">
        <v>411</v>
      </c>
      <c r="J86" s="1" t="s">
        <v>273</v>
      </c>
      <c r="K86" s="16" t="inlineStr">
        <is>
          <t xml:space="preserve">Aprobado</t>
        </is>
      </c>
      <c r="L86" s="17" t="inlineStr">
        <is>
          <t xml:space="preserve">HTTP 404.</t>
        </is>
      </c>
      <c r="M86" s="17" t="inlineStr">
        <is>
          <t xml:space="preserve">EV-API-EST-10.txt</t>
        </is>
      </c>
      <c r="N86" s="18">
        <v>46322</v>
      </c>
      <c r="O86" s="17" t="inlineStr">
        <is>
          <t xml:space="preserve">Automatizado</t>
        </is>
      </c>
      <c r="P86" s="17" t="inlineStr">
        <is>
          <t xml:space="preserve">Regresión en feature/frontend-mvc (eea9ee8): mismo resultado.</t>
        </is>
      </c>
    </row>
    <row r="87" spans="1:16" ht="27.95">
      <c r="A87" s="15" t="s">
        <v>412</v>
      </c>
      <c r="B87" s="15" t="s">
        <v>57</v>
      </c>
      <c r="C87" s="1" t="s">
        <v>20</v>
      </c>
      <c r="D87" s="15" t="s">
        <v>125</v>
      </c>
      <c r="E87" s="15" t="s">
        <v>99</v>
      </c>
      <c r="F87" s="15" t="s">
        <v>100</v>
      </c>
      <c r="G87" s="1" t="s">
        <v>300</v>
      </c>
      <c r="H87" s="1" t="s">
        <v>301</v>
      </c>
      <c r="I87" s="1" t="s">
        <v>413</v>
      </c>
      <c r="J87" s="1" t="s">
        <v>303</v>
      </c>
      <c r="K87" s="16" t="inlineStr">
        <is>
          <t xml:space="preserve">Aprobado</t>
        </is>
      </c>
      <c r="L87" s="17" t="inlineStr">
        <is>
          <t xml:space="preserve">DELETE HTTP 204; GET posterior HTTP 404.</t>
        </is>
      </c>
      <c r="M87" s="17" t="inlineStr">
        <is>
          <t xml:space="preserve">EV-API-EST-11.txt</t>
        </is>
      </c>
      <c r="N87" s="18">
        <v>46322</v>
      </c>
      <c r="O87" s="17" t="inlineStr">
        <is>
          <t xml:space="preserve">Automatizado</t>
        </is>
      </c>
      <c r="P87" s="17" t="inlineStr">
        <is>
          <t xml:space="preserve">Regresión en feature/frontend-mvc (eea9ee8): mismo resultado.</t>
        </is>
      </c>
    </row>
    <row r="88" spans="1:16">
      <c r="A88" s="15" t="s">
        <v>414</v>
      </c>
      <c r="B88" s="15" t="s">
        <v>57</v>
      </c>
      <c r="C88" s="1" t="s">
        <v>20</v>
      </c>
      <c r="D88" s="15" t="s">
        <v>125</v>
      </c>
      <c r="E88" s="15" t="s">
        <v>157</v>
      </c>
      <c r="F88" s="15" t="s">
        <v>131</v>
      </c>
      <c r="G88" s="1" t="s">
        <v>305</v>
      </c>
      <c r="H88" s="1" t="s">
        <v>271</v>
      </c>
      <c r="I88" s="1" t="s">
        <v>415</v>
      </c>
      <c r="J88" s="1" t="s">
        <v>273</v>
      </c>
      <c r="K88" s="16" t="inlineStr">
        <is>
          <t xml:space="preserve">Aprobado</t>
        </is>
      </c>
      <c r="L88" s="17" t="inlineStr">
        <is>
          <t xml:space="preserve">HTTP 404.</t>
        </is>
      </c>
      <c r="M88" s="17" t="inlineStr">
        <is>
          <t xml:space="preserve">EV-API-EST-12.txt</t>
        </is>
      </c>
      <c r="N88" s="18">
        <v>46322</v>
      </c>
      <c r="O88" s="17" t="inlineStr">
        <is>
          <t xml:space="preserve">Automatizado</t>
        </is>
      </c>
      <c r="P88" s="17" t="inlineStr">
        <is>
          <t xml:space="preserve">Regresión en feature/frontend-mvc (eea9ee8): mismo resultado.</t>
        </is>
      </c>
    </row>
    <row r="89" spans="1:16" ht="27.95">
      <c r="A89" s="15" t="s">
        <v>416</v>
      </c>
      <c r="B89" s="15" t="s">
        <v>57</v>
      </c>
      <c r="C89" s="1" t="s">
        <v>20</v>
      </c>
      <c r="D89" s="15" t="s">
        <v>125</v>
      </c>
      <c r="E89" s="15" t="s">
        <v>99</v>
      </c>
      <c r="F89" s="15" t="s">
        <v>100</v>
      </c>
      <c r="G89" s="1" t="s">
        <v>417</v>
      </c>
      <c r="H89" s="1" t="s">
        <v>261</v>
      </c>
      <c r="I89" s="1" t="s">
        <v>418</v>
      </c>
      <c r="J89" s="1" t="s">
        <v>419</v>
      </c>
      <c r="K89" s="16" t="inlineStr">
        <is>
          <t xml:space="preserve">Aprobado</t>
        </is>
      </c>
      <c r="L89" s="17" t="inlineStr">
        <is>
          <t xml:space="preserve">HTTP 201; la persona 1001 queda con 2 estudios.</t>
        </is>
      </c>
      <c r="M89" s="17" t="inlineStr">
        <is>
          <t xml:space="preserve">EV-API-EST-13.txt</t>
        </is>
      </c>
      <c r="N89" s="18">
        <v>46322</v>
      </c>
      <c r="O89" s="17" t="inlineStr">
        <is>
          <t xml:space="preserve">Automatizado</t>
        </is>
      </c>
      <c r="P89" s="17" t="inlineStr">
        <is>
          <t xml:space="preserve">Regresión en feature/frontend-mvc (eea9ee8): mismo resultado.</t>
        </is>
      </c>
    </row>
    <row r="90" spans="1:16" ht="27.95">
      <c r="A90" s="15" t="s">
        <v>420</v>
      </c>
      <c r="B90" s="15" t="s">
        <v>57</v>
      </c>
      <c r="C90" s="1" t="s">
        <v>20</v>
      </c>
      <c r="D90" s="15" t="s">
        <v>125</v>
      </c>
      <c r="E90" s="15" t="s">
        <v>99</v>
      </c>
      <c r="F90" s="15" t="s">
        <v>100</v>
      </c>
      <c r="G90" s="1" t="s">
        <v>421</v>
      </c>
      <c r="H90" s="1" t="s">
        <v>261</v>
      </c>
      <c r="I90" s="1" t="s">
        <v>422</v>
      </c>
      <c r="J90" s="1" t="s">
        <v>423</v>
      </c>
      <c r="K90" s="16" t="inlineStr">
        <is>
          <t xml:space="preserve">Aprobado</t>
        </is>
      </c>
      <c r="L90" s="17" t="inlineStr">
        <is>
          <t xml:space="preserve">HTTP 201; la profesión 1 queda asociada a 4 personas.</t>
        </is>
      </c>
      <c r="M90" s="17" t="inlineStr">
        <is>
          <t xml:space="preserve">EV-API-EST-14.txt</t>
        </is>
      </c>
      <c r="N90" s="18">
        <v>46322</v>
      </c>
      <c r="O90" s="17" t="inlineStr">
        <is>
          <t xml:space="preserve">Automatizado</t>
        </is>
      </c>
      <c r="P90" s="17" t="inlineStr">
        <is>
          <t xml:space="preserve">Regresión en feature/frontend-mvc (eea9ee8): mismo resultado.</t>
        </is>
      </c>
    </row>
    <row r="91" spans="1:16" ht="27.95">
      <c r="A91" s="15" t="s">
        <v>424</v>
      </c>
      <c r="B91" s="15" t="s">
        <v>57</v>
      </c>
      <c r="C91" s="1" t="s">
        <v>20</v>
      </c>
      <c r="D91" s="15" t="s">
        <v>125</v>
      </c>
      <c r="E91" s="15" t="s">
        <v>99</v>
      </c>
      <c r="F91" s="15" t="s">
        <v>131</v>
      </c>
      <c r="G91" s="1" t="s">
        <v>425</v>
      </c>
      <c r="H91" s="1" t="s">
        <v>261</v>
      </c>
      <c r="I91" s="1" t="s">
        <v>426</v>
      </c>
      <c r="J91" s="1" t="s">
        <v>427</v>
      </c>
      <c r="K91" s="16" t="inlineStr">
        <is>
          <t xml:space="preserve">Aprobado</t>
        </is>
      </c>
      <c r="L91" s="17" t="inlineStr">
        <is>
          <t xml:space="preserve">HTTP 201; fecha y univer quedan en null.</t>
        </is>
      </c>
      <c r="M91" s="17" t="inlineStr">
        <is>
          <t xml:space="preserve">EV-API-EST-15.txt</t>
        </is>
      </c>
      <c r="N91" s="18">
        <v>46322</v>
      </c>
      <c r="O91" s="17" t="inlineStr">
        <is>
          <t xml:space="preserve">Automatizado</t>
        </is>
      </c>
      <c r="P91" s="17" t="inlineStr">
        <is>
          <t xml:space="preserve">Regresión en feature/frontend-mvc (eea9ee8): mismo resultado.</t>
        </is>
      </c>
    </row>
    <row r="92" spans="1:16" ht="27.95">
      <c r="A92" s="15" t="s">
        <v>428</v>
      </c>
      <c r="B92" s="15" t="s">
        <v>57</v>
      </c>
      <c r="C92" s="1" t="s">
        <v>20</v>
      </c>
      <c r="D92" s="15" t="s">
        <v>98</v>
      </c>
      <c r="E92" s="15" t="s">
        <v>99</v>
      </c>
      <c r="F92" s="15" t="s">
        <v>131</v>
      </c>
      <c r="G92" s="1" t="s">
        <v>429</v>
      </c>
      <c r="H92" s="1" t="s">
        <v>285</v>
      </c>
      <c r="I92" s="1" t="s">
        <v>430</v>
      </c>
      <c r="J92" s="1" t="s">
        <v>431</v>
      </c>
      <c r="K92" s="16" t="inlineStr">
        <is>
          <t xml:space="preserve">Aprobado</t>
        </is>
      </c>
      <c r="L92" s="17" t="inlineStr">
        <is>
          <t xml:space="preserve">Los 4 GET devuelven 'application/json; charset=utf-8'.</t>
        </is>
      </c>
      <c r="M92" s="17" t="inlineStr">
        <is>
          <t xml:space="preserve">EV-API-GEN-01.txt</t>
        </is>
      </c>
      <c r="N92" s="18">
        <v>46322</v>
      </c>
      <c r="O92" s="17" t="inlineStr">
        <is>
          <t xml:space="preserve">Automatizado</t>
        </is>
      </c>
      <c r="P92" s="17" t="inlineStr">
        <is>
          <t xml:space="preserve">Regresión en feature/frontend-mvc (eea9ee8): mismo resultado.</t>
        </is>
      </c>
    </row>
    <row r="93" spans="1:16" ht="27.95">
      <c r="A93" s="15" t="s">
        <v>432</v>
      </c>
      <c r="B93" s="15" t="s">
        <v>57</v>
      </c>
      <c r="C93" s="1" t="s">
        <v>20</v>
      </c>
      <c r="D93" s="15" t="s">
        <v>98</v>
      </c>
      <c r="E93" s="15" t="s">
        <v>157</v>
      </c>
      <c r="F93" s="15" t="s">
        <v>131</v>
      </c>
      <c r="G93" s="1" t="s">
        <v>433</v>
      </c>
      <c r="H93" s="1" t="s">
        <v>285</v>
      </c>
      <c r="I93" s="1" t="s">
        <v>434</v>
      </c>
      <c r="J93" s="1" t="s">
        <v>435</v>
      </c>
      <c r="K93" s="16" t="inlineStr">
        <is>
          <t xml:space="preserve">Aprobado</t>
        </is>
      </c>
      <c r="L93" s="17" t="inlineStr">
        <is>
          <t xml:space="preserve">16 solicitudes (cuerpo vacío y JSON mal formado en POST/PUT de los 4 recursos): códigos {400: 16}; ninguna responde 500.</t>
        </is>
      </c>
      <c r="M93" s="17" t="inlineStr">
        <is>
          <t xml:space="preserve">EV-API-GEN-02.txt</t>
        </is>
      </c>
      <c r="N93" s="18">
        <v>46322</v>
      </c>
      <c r="O93" s="17" t="inlineStr">
        <is>
          <t xml:space="preserve">Automatizado</t>
        </is>
      </c>
      <c r="P93" s="17" t="inlineStr">
        <is>
          <t xml:space="preserve">Regresión en feature/frontend-mvc (eea9ee8): mismo resultado.</t>
        </is>
      </c>
    </row>
    <row r="94" spans="1:16" ht="27.95">
      <c r="A94" s="15" t="s">
        <v>436</v>
      </c>
      <c r="B94" s="15" t="s">
        <v>57</v>
      </c>
      <c r="C94" s="1" t="s">
        <v>20</v>
      </c>
      <c r="D94" s="15" t="s">
        <v>98</v>
      </c>
      <c r="E94" s="15" t="s">
        <v>157</v>
      </c>
      <c r="F94" s="15" t="s">
        <v>131</v>
      </c>
      <c r="G94" s="1" t="s">
        <v>437</v>
      </c>
      <c r="H94" s="1" t="s">
        <v>285</v>
      </c>
      <c r="I94" s="1" t="s">
        <v>438</v>
      </c>
      <c r="J94" s="1" t="s">
        <v>439</v>
      </c>
      <c r="K94" s="16" t="inlineStr">
        <is>
          <t xml:space="preserve">Aprobado</t>
        </is>
      </c>
      <c r="L94" s="17" t="inlineStr">
        <is>
          <t xml:space="preserve">/api/personas/abc: 404; /api/estudios/1/abc: 404.</t>
        </is>
      </c>
      <c r="M94" s="17" t="inlineStr">
        <is>
          <t xml:space="preserve">EV-API-GEN-03.txt</t>
        </is>
      </c>
      <c r="N94" s="18">
        <v>46322</v>
      </c>
      <c r="O94" s="17" t="inlineStr">
        <is>
          <t xml:space="preserve">Automatizado</t>
        </is>
      </c>
      <c r="P94" s="17" t="inlineStr">
        <is>
          <t xml:space="preserve">La restricción de ruta :int hace que la ruta no coincida y se responde 404 en lugar de 400. Regresión en feature/frontend-mvc (eea9ee8): mismo resultado.</t>
        </is>
      </c>
    </row>
    <row r="95" spans="1:16" ht="27.95">
      <c r="A95" s="15" t="s">
        <v>440</v>
      </c>
      <c r="B95" s="15" t="s">
        <v>57</v>
      </c>
      <c r="C95" s="1" t="s">
        <v>20</v>
      </c>
      <c r="D95" s="15" t="s">
        <v>98</v>
      </c>
      <c r="E95" s="15" t="s">
        <v>157</v>
      </c>
      <c r="F95" s="15" t="s">
        <v>212</v>
      </c>
      <c r="G95" s="1" t="s">
        <v>441</v>
      </c>
      <c r="H95" s="1" t="s">
        <v>285</v>
      </c>
      <c r="I95" s="1" t="s">
        <v>442</v>
      </c>
      <c r="J95" s="1" t="s">
        <v>443</v>
      </c>
      <c r="K95" s="16" t="inlineStr">
        <is>
          <t xml:space="preserve">Aprobado</t>
        </is>
      </c>
      <c r="L95" s="17" t="inlineStr">
        <is>
          <t xml:space="preserve">HTTP 405.</t>
        </is>
      </c>
      <c r="M95" s="17" t="inlineStr">
        <is>
          <t xml:space="preserve">EV-API-GEN-04.txt</t>
        </is>
      </c>
      <c r="N95" s="18">
        <v>46322</v>
      </c>
      <c r="O95" s="17" t="inlineStr">
        <is>
          <t xml:space="preserve">Automatizado</t>
        </is>
      </c>
      <c r="P95" s="17" t="inlineStr">
        <is>
          <t xml:space="preserve">Regresión en feature/frontend-mvc (eea9ee8): mismo resultado.</t>
        </is>
      </c>
    </row>
    <row r="96" spans="1:16" ht="27.95">
      <c r="A96" s="15" t="s">
        <v>444</v>
      </c>
      <c r="B96" s="15" t="s">
        <v>70</v>
      </c>
      <c r="C96" s="1" t="s">
        <v>20</v>
      </c>
      <c r="D96" s="15" t="s">
        <v>98</v>
      </c>
      <c r="E96" s="15" t="s">
        <v>445</v>
      </c>
      <c r="F96" s="15" t="s">
        <v>131</v>
      </c>
      <c r="G96" s="1" t="s">
        <v>446</v>
      </c>
      <c r="H96" s="1" t="s">
        <v>285</v>
      </c>
      <c r="I96" s="1" t="s">
        <v>447</v>
      </c>
      <c r="J96" s="1" t="s">
        <v>448</v>
      </c>
      <c r="K96" s="16" t="inlineStr">
        <is>
          <t xml:space="preserve">Fallido</t>
        </is>
      </c>
      <c r="L96" s="17" t="inlineStr">
        <is>
          <t xml:space="preserve">20 pares de POST simultáneos: 1 con [201, 409] y 19 con un 500 en el segundo; sin registros duplicados (0).</t>
        </is>
      </c>
      <c r="M96" s="17" t="inlineStr">
        <is>
          <t xml:space="preserve">EV-API-GEN-05.txt</t>
        </is>
      </c>
      <c r="N96" s="18">
        <v>46322</v>
      </c>
      <c r="O96" s="17" t="inlineStr">
        <is>
          <t xml:space="preserve">Automatizado</t>
        </is>
      </c>
      <c r="P96" s="17" t="inlineStr">
        <is>
          <t xml:space="preserve">El POST consulta ExistsAsync y luego inserta; si ambas solicitudes pasan la consulta, la segunda falla por PK y la excepción no se controla. Propuesta: capturar DbUpdateException (error 2627) y responder 409. Regresión en feature/frontend-mvc (eea9ee8): mismo resultado. Defecto DEF-01. Re-prueba ronda 2 (28/10/2026, Pull Request #9, #10 y #11): Aprobado. Evidencia en reprueba/ronda-2/EV-R2-API-GEN-05.*.</t>
        </is>
      </c>
    </row>
    <row r="97" spans="1:16">
      <c r="A97" s="15" t="s">
        <v>449</v>
      </c>
      <c r="B97" s="15" t="s">
        <v>57</v>
      </c>
      <c r="C97" s="1" t="s">
        <v>20</v>
      </c>
      <c r="D97" s="15" t="s">
        <v>98</v>
      </c>
      <c r="E97" s="15" t="s">
        <v>99</v>
      </c>
      <c r="F97" s="15" t="s">
        <v>100</v>
      </c>
      <c r="G97" s="1" t="s">
        <v>450</v>
      </c>
      <c r="H97" s="1" t="s">
        <v>451</v>
      </c>
      <c r="I97" s="1" t="s">
        <v>452</v>
      </c>
      <c r="J97" s="1" t="s">
        <v>453</v>
      </c>
      <c r="K97" s="16" t="inlineStr">
        <is>
          <t xml:space="preserve">Aprobado</t>
        </is>
      </c>
      <c r="L97" s="17" t="inlineStr">
        <is>
          <t xml:space="preserve">POST 201; tras detener y reiniciar la aplicación, GET /api/personas/2090 responde 200 con los mismos datos.</t>
        </is>
      </c>
      <c r="M97" s="17" t="inlineStr">
        <is>
          <t xml:space="preserve">EV-API-GEN-06.txt</t>
        </is>
      </c>
      <c r="N97" s="18">
        <v>46322</v>
      </c>
      <c r="O97" s="17" t="inlineStr">
        <is>
          <t xml:space="preserve">Automatizado</t>
        </is>
      </c>
      <c r="P97" s="17"/>
    </row>
    <row r="98" spans="1:16">
      <c r="A98" s="15" t="s">
        <v>454</v>
      </c>
      <c r="B98" s="15" t="s">
        <v>60</v>
      </c>
      <c r="C98" s="1" t="s">
        <v>21</v>
      </c>
      <c r="D98" s="15" t="s">
        <v>98</v>
      </c>
      <c r="E98" s="15" t="s">
        <v>99</v>
      </c>
      <c r="F98" s="15" t="s">
        <v>100</v>
      </c>
      <c r="G98" s="1" t="s">
        <v>455</v>
      </c>
      <c r="H98" s="1" t="s">
        <v>256</v>
      </c>
      <c r="I98" s="1" t="s">
        <v>456</v>
      </c>
      <c r="J98" s="1" t="s">
        <v>457</v>
      </c>
      <c r="K98" s="16" t="inlineStr">
        <is>
          <t xml:space="preserve">Aprobado</t>
        </is>
      </c>
      <c r="L98" s="17" t="inlineStr">
        <is>
          <t xml:space="preserve">/swagger responde 200 y Swagger UI muestra 20 operaciones; errores de consola: 0.</t>
        </is>
      </c>
      <c r="M98" s="17" t="inlineStr">
        <is>
          <t xml:space="preserve">EV-SW-01.png</t>
        </is>
      </c>
      <c r="N98" s="18">
        <v>46322</v>
      </c>
      <c r="O98" s="17" t="inlineStr">
        <is>
          <t xml:space="preserve">Automatizado</t>
        </is>
      </c>
      <c r="P98" s="17" t="inlineStr">
        <is>
          <t xml:space="preserve">Regresión en feature/frontend-mvc (eea9ee8): mismo resultado.</t>
        </is>
      </c>
    </row>
    <row r="99" spans="1:16" ht="27.95">
      <c r="A99" s="15" t="s">
        <v>458</v>
      </c>
      <c r="B99" s="15" t="s">
        <v>60</v>
      </c>
      <c r="C99" s="1" t="s">
        <v>21</v>
      </c>
      <c r="D99" s="15" t="s">
        <v>98</v>
      </c>
      <c r="E99" s="15" t="s">
        <v>99</v>
      </c>
      <c r="F99" s="15" t="s">
        <v>100</v>
      </c>
      <c r="G99" s="1" t="s">
        <v>459</v>
      </c>
      <c r="H99" s="1" t="s">
        <v>460</v>
      </c>
      <c r="I99" s="1" t="s">
        <v>461</v>
      </c>
      <c r="J99" s="1" t="s">
        <v>462</v>
      </c>
      <c r="K99" s="16" t="inlineStr">
        <is>
          <t xml:space="preserve">Aprobado</t>
        </is>
      </c>
      <c r="L99" s="17" t="inlineStr">
        <is>
          <t xml:space="preserve">Personas, Telefonos, Profesiones y Estudios con GET lista, GET por clave, POST, PUT y DELETE (20 operaciones).</t>
        </is>
      </c>
      <c r="M99" s="17" t="inlineStr">
        <is>
          <t xml:space="preserve">EV-SW-02.txt</t>
        </is>
      </c>
      <c r="N99" s="18">
        <v>46322</v>
      </c>
      <c r="O99" s="17" t="inlineStr">
        <is>
          <t xml:space="preserve">Automatizado</t>
        </is>
      </c>
      <c r="P99" s="17" t="inlineStr">
        <is>
          <t xml:space="preserve">Regresión en feature/frontend-mvc (eea9ee8): mismo resultado.</t>
        </is>
      </c>
    </row>
    <row r="100" spans="1:16" ht="27.95">
      <c r="A100" s="15" t="s">
        <v>463</v>
      </c>
      <c r="B100" s="15" t="s">
        <v>60</v>
      </c>
      <c r="C100" s="1" t="s">
        <v>21</v>
      </c>
      <c r="D100" s="15" t="s">
        <v>98</v>
      </c>
      <c r="E100" s="15" t="s">
        <v>99</v>
      </c>
      <c r="F100" s="15" t="s">
        <v>100</v>
      </c>
      <c r="G100" s="1" t="s">
        <v>464</v>
      </c>
      <c r="H100" s="1" t="s">
        <v>465</v>
      </c>
      <c r="I100" s="1" t="s">
        <v>466</v>
      </c>
      <c r="J100" s="1" t="s">
        <v>467</v>
      </c>
      <c r="K100" s="16" t="inlineStr">
        <is>
          <t xml:space="preserve">Aprobado</t>
        </is>
      </c>
      <c r="L100" s="17" t="inlineStr">
        <is>
          <t xml:space="preserve">Try it out ejecuta los 8 GET (lista y por clave de cada recurso) con respuesta 200 y cuerpo JSON.</t>
        </is>
      </c>
      <c r="M100" s="17" t="inlineStr">
        <is>
          <t xml:space="preserve">EV-SW-03.png, EV-SW-03.txt</t>
        </is>
      </c>
      <c r="N100" s="18">
        <v>46322</v>
      </c>
      <c r="O100" s="17" t="inlineStr">
        <is>
          <t xml:space="preserve">Automatizado</t>
        </is>
      </c>
      <c r="P100" s="17" t="inlineStr">
        <is>
          <t xml:space="preserve">Regresión en feature/frontend-mvc (eea9ee8): mismo resultado.</t>
        </is>
      </c>
    </row>
    <row r="101" spans="1:16" ht="27.95">
      <c r="A101" s="15" t="s">
        <v>468</v>
      </c>
      <c r="B101" s="15" t="s">
        <v>60</v>
      </c>
      <c r="C101" s="1" t="s">
        <v>21</v>
      </c>
      <c r="D101" s="15" t="s">
        <v>98</v>
      </c>
      <c r="E101" s="15" t="s">
        <v>99</v>
      </c>
      <c r="F101" s="15" t="s">
        <v>100</v>
      </c>
      <c r="G101" s="1" t="s">
        <v>469</v>
      </c>
      <c r="H101" s="1" t="s">
        <v>460</v>
      </c>
      <c r="I101" s="1" t="s">
        <v>470</v>
      </c>
      <c r="J101" s="1" t="s">
        <v>471</v>
      </c>
      <c r="K101" s="16" t="inlineStr">
        <is>
          <t xml:space="preserve">Aprobado</t>
        </is>
      </c>
      <c r="L101" s="17" t="inlineStr">
        <is>
          <t xml:space="preserve">En los 4 recursos: POST 201, PUT 204 con el cambio visible en persona_db, DELETE 204 y GET posterior 404.</t>
        </is>
      </c>
      <c r="M101" s="17" t="inlineStr">
        <is>
          <t xml:space="preserve">EV-SW-04-POST.png, EV-SW-04-DELETE.png, EV-SW-04.txt</t>
        </is>
      </c>
      <c r="N101" s="18">
        <v>46322</v>
      </c>
      <c r="O101" s="17" t="inlineStr">
        <is>
          <t xml:space="preserve">Automatizado</t>
        </is>
      </c>
      <c r="P101" s="17" t="inlineStr">
        <is>
          <t xml:space="preserve">Regresión en feature/frontend-mvc (eea9ee8): mismo resultado.</t>
        </is>
      </c>
    </row>
    <row r="102" spans="1:16" ht="27.95">
      <c r="A102" s="15" t="s">
        <v>472</v>
      </c>
      <c r="B102" s="15" t="s">
        <v>60</v>
      </c>
      <c r="C102" s="1" t="s">
        <v>21</v>
      </c>
      <c r="D102" s="15" t="s">
        <v>98</v>
      </c>
      <c r="E102" s="15" t="s">
        <v>99</v>
      </c>
      <c r="F102" s="15" t="s">
        <v>131</v>
      </c>
      <c r="G102" s="1" t="s">
        <v>473</v>
      </c>
      <c r="H102" s="1" t="s">
        <v>460</v>
      </c>
      <c r="I102" s="1" t="s">
        <v>474</v>
      </c>
      <c r="J102" s="1" t="s">
        <v>475</v>
      </c>
      <c r="K102" s="16" t="inlineStr">
        <is>
          <t xml:space="preserve">Aprobado</t>
        </is>
      </c>
      <c r="L102" s="17" t="inlineStr">
        <is>
          <t xml:space="preserve">Los 4 DTO muestran todos sus campos con tipo; obligatorios: PersonaDto (nombre, apellido, genero), TelefonoDto (num, oper), ProfesionDto (nom).</t>
        </is>
      </c>
      <c r="M102" s="17" t="inlineStr">
        <is>
          <t xml:space="preserve">EV-SW-05.txt</t>
        </is>
      </c>
      <c r="N102" s="18">
        <v>46322</v>
      </c>
      <c r="O102" s="17" t="inlineStr">
        <is>
          <t xml:space="preserve">Automatizado</t>
        </is>
      </c>
      <c r="P102" s="17" t="inlineStr">
        <is>
          <t xml:space="preserve">Las claves enteras (cc, id, idProf, ccPer, duenio) no figuran como required aunque la API las exige (Range &gt;= 1); fecha aparece como string/date-time. Las restricciones Range y StringLength si se publican. Regresión en feature/frontend-mvc (eea9ee8): mismo resultado.</t>
        </is>
      </c>
    </row>
    <row r="103" spans="1:16" ht="27.95">
      <c r="A103" s="15" t="s">
        <v>476</v>
      </c>
      <c r="B103" s="15" t="s">
        <v>60</v>
      </c>
      <c r="C103" s="1" t="s">
        <v>21</v>
      </c>
      <c r="D103" s="15" t="s">
        <v>98</v>
      </c>
      <c r="E103" s="15" t="s">
        <v>99</v>
      </c>
      <c r="F103" s="15" t="s">
        <v>131</v>
      </c>
      <c r="G103" s="1" t="s">
        <v>477</v>
      </c>
      <c r="H103" s="1" t="s">
        <v>460</v>
      </c>
      <c r="I103" s="1" t="s">
        <v>478</v>
      </c>
      <c r="J103" s="1" t="s">
        <v>479</v>
      </c>
      <c r="K103" s="16" t="inlineStr">
        <is>
          <t xml:space="preserve">Aprobado</t>
        </is>
      </c>
      <c r="L103" s="17" t="inlineStr">
        <is>
          <t xml:space="preserve">46 solicitudes, una por código documentado en cada operación: 46 coinciden con la documentación.</t>
        </is>
      </c>
      <c r="M103" s="17" t="inlineStr">
        <is>
          <t xml:space="preserve">EV-SW-06.txt</t>
        </is>
      </c>
      <c r="N103" s="18">
        <v>46322</v>
      </c>
      <c r="O103" s="17" t="inlineStr">
        <is>
          <t xml:space="preserve">Automatizado</t>
        </is>
      </c>
      <c r="P103" s="17" t="inlineStr">
        <is>
          <t xml:space="preserve">Fuera de lo documentado: 405 en métodos no soportados y 500 en POST concurrentes con la misma clave (API-GEN-05). Regresión en feature/frontend-mvc (eea9ee8): mismo resultado.</t>
        </is>
      </c>
    </row>
    <row r="104" spans="1:16" ht="27.95">
      <c r="A104" s="15" t="s">
        <v>480</v>
      </c>
      <c r="B104" s="15" t="s">
        <v>60</v>
      </c>
      <c r="C104" s="1" t="s">
        <v>21</v>
      </c>
      <c r="D104" s="15" t="s">
        <v>98</v>
      </c>
      <c r="E104" s="15" t="s">
        <v>99</v>
      </c>
      <c r="F104" s="15" t="s">
        <v>131</v>
      </c>
      <c r="G104" s="1" t="s">
        <v>481</v>
      </c>
      <c r="H104" s="1" t="s">
        <v>256</v>
      </c>
      <c r="I104" s="1" t="s">
        <v>482</v>
      </c>
      <c r="J104" s="1" t="s">
        <v>483</v>
      </c>
      <c r="K104" s="16" t="inlineStr">
        <is>
          <t xml:space="preserve">Aprobado</t>
        </is>
      </c>
      <c r="L104" s="17" t="inlineStr">
        <is>
          <t xml:space="preserve">swagger.json se descarga (HTTP 200, OpenAPI 3.0.1) y openapi-spec-validator lo declara válido.</t>
        </is>
      </c>
      <c r="M104" s="17" t="inlineStr">
        <is>
          <t xml:space="preserve">EV-SW-07.txt</t>
        </is>
      </c>
      <c r="N104" s="18">
        <v>46322</v>
      </c>
      <c r="O104" s="17" t="inlineStr">
        <is>
          <t xml:space="preserve">Automatizado</t>
        </is>
      </c>
      <c r="P104" s="17" t="inlineStr">
        <is>
          <t xml:space="preserve">Regresión en feature/frontend-mvc (eea9ee8): mismo resultado.</t>
        </is>
      </c>
    </row>
    <row r="105" spans="1:16" ht="27.95">
      <c r="A105" s="15" t="s">
        <v>484</v>
      </c>
      <c r="B105" s="15" t="s">
        <v>60</v>
      </c>
      <c r="C105" s="1" t="s">
        <v>21</v>
      </c>
      <c r="D105" s="15" t="s">
        <v>98</v>
      </c>
      <c r="E105" s="15" t="s">
        <v>99</v>
      </c>
      <c r="F105" s="15" t="s">
        <v>212</v>
      </c>
      <c r="G105" s="1" t="s">
        <v>485</v>
      </c>
      <c r="H105" s="1" t="s">
        <v>460</v>
      </c>
      <c r="I105" s="1" t="s">
        <v>486</v>
      </c>
      <c r="J105" s="1" t="s">
        <v>487</v>
      </c>
      <c r="K105" s="16" t="inlineStr">
        <is>
          <t xml:space="preserve">Aprobado</t>
        </is>
      </c>
      <c r="L105" s="17" t="inlineStr">
        <is>
          <t xml:space="preserve">Las 8 rutas documentadas empiezan por /api/; no aparecen acciones MVC.</t>
        </is>
      </c>
      <c r="M105" s="17" t="inlineStr">
        <is>
          <t xml:space="preserve">EV-SW-08.txt</t>
        </is>
      </c>
      <c r="N105" s="18">
        <v>46322</v>
      </c>
      <c r="O105" s="17" t="inlineStr">
        <is>
          <t xml:space="preserve">Automatizado</t>
        </is>
      </c>
      <c r="P105" s="17" t="inlineStr">
        <is>
          <t xml:space="preserve">Regresión en feature/frontend-mvc (eea9ee8): mismo resultado.</t>
        </is>
      </c>
    </row>
    <row r="106" spans="1:16" ht="27.95">
      <c r="A106" s="15" t="s">
        <v>488</v>
      </c>
      <c r="B106" s="15" t="s">
        <v>60</v>
      </c>
      <c r="C106" s="1" t="s">
        <v>21</v>
      </c>
      <c r="D106" s="15" t="s">
        <v>98</v>
      </c>
      <c r="E106" s="15" t="s">
        <v>99</v>
      </c>
      <c r="F106" s="15" t="s">
        <v>212</v>
      </c>
      <c r="G106" s="1" t="s">
        <v>489</v>
      </c>
      <c r="H106" s="1" t="s">
        <v>460</v>
      </c>
      <c r="I106" s="1" t="s">
        <v>490</v>
      </c>
      <c r="J106" s="1" t="s">
        <v>491</v>
      </c>
      <c r="K106" s="16" t="inlineStr">
        <is>
          <t xml:space="preserve">Fallido</t>
        </is>
      </c>
      <c r="L106" s="17" t="inlineStr">
        <is>
          <t xml:space="preserve">Las 20 operaciones se agrupan por recurso y documentan sus códigos, pero ninguna tiene resumen ni descripción, y ninguna de las 15 propiedades de los DTO se describe. Campos como cc, ccPer, des, duenio, idProf, nom no se explican.</t>
        </is>
      </c>
      <c r="M106" s="17" t="inlineStr">
        <is>
          <t xml:space="preserve">EV-SW-01.png, EV-SW-09.txt</t>
        </is>
      </c>
      <c r="N106" s="18">
        <v>46322</v>
      </c>
      <c r="O106" s="17" t="inlineStr">
        <is>
          <t xml:space="preserve">Automatizado</t>
        </is>
      </c>
      <c r="P106" s="17" t="inlineStr">
        <is>
          <t xml:space="preserve">El código ya tiene 4 comentarios /// &lt;summary&gt; en los DTO, pero el proyecto no genera el archivo XML de documentación, por lo que Swagger no los muestra. Revisión asistida: confirmar el criterio con el responsable de QA. Defecto DEF-10. Re-prueba ronda 2 (28/10/2026, Pull Request #9, #10 y #11): Aprobado. Evidencia en reprueba/ronda-2/EV-R2-SW-09.*.</t>
        </is>
      </c>
    </row>
    <row r="107" spans="1:16" ht="42">
      <c r="A107" s="15" t="s">
        <v>492</v>
      </c>
      <c r="B107" s="15" t="s">
        <v>63</v>
      </c>
      <c r="C107" s="1" t="s">
        <v>22</v>
      </c>
      <c r="D107" s="15" t="s">
        <v>156</v>
      </c>
      <c r="E107" s="15" t="s">
        <v>99</v>
      </c>
      <c r="F107" s="15" t="s">
        <v>100</v>
      </c>
      <c r="G107" s="1" t="s">
        <v>493</v>
      </c>
      <c r="H107" s="1" t="s">
        <v>494</v>
      </c>
      <c r="I107" s="1" t="s">
        <v>495</v>
      </c>
      <c r="J107" s="1" t="s">
        <v>496</v>
      </c>
      <c r="K107" s="16" t="inlineStr">
        <is>
          <t xml:space="preserve">Fallido</t>
        </is>
      </c>
      <c r="L107" s="17" t="inlineStr">
        <is>
          <t xml:space="preserve">El menú abre /Personas; lista 5 registros (base: 5) con columnas Cédula, Nombre, Apellido, Género.</t>
        </is>
      </c>
      <c r="M107" s="17" t="inlineStr">
        <is>
          <t xml:space="preserve">EV-MVC-PER-01.png, EV-MVC-PER-01.txt</t>
        </is>
      </c>
      <c r="N107" s="18">
        <v>46322</v>
      </c>
      <c r="O107" s="17" t="inlineStr">
        <is>
          <t xml:space="preserve">Automatizado</t>
        </is>
      </c>
      <c r="P107" s="17" t="inlineStr">
        <is>
          <t xml:space="preserve">El listado no muestra la columna Edad; solo aparece en Detalles. El listado sin datos se revisa en MVC-GEN (base vacía). Defecto DEF-07. Re-prueba ronda 1 (28/10/2026, Pull Request #7): Aprobado. Evidencia en reprueba/ronda-1/EV-R1-MVC-PER-01.*.</t>
        </is>
      </c>
    </row>
    <row r="108" spans="1:16" ht="27.95">
      <c r="A108" s="15" t="s">
        <v>497</v>
      </c>
      <c r="B108" s="15" t="s">
        <v>63</v>
      </c>
      <c r="C108" s="1" t="s">
        <v>22</v>
      </c>
      <c r="D108" s="15" t="s">
        <v>156</v>
      </c>
      <c r="E108" s="15" t="s">
        <v>99</v>
      </c>
      <c r="F108" s="15" t="s">
        <v>100</v>
      </c>
      <c r="G108" s="1" t="s">
        <v>498</v>
      </c>
      <c r="H108" s="1" t="s">
        <v>499</v>
      </c>
      <c r="I108" s="1" t="s">
        <v>500</v>
      </c>
      <c r="J108" s="1" t="s">
        <v>501</v>
      </c>
      <c r="K108" s="16" t="inlineStr">
        <is>
          <t xml:space="preserve">Aprobado</t>
        </is>
      </c>
      <c r="L108" s="17" t="inlineStr">
        <is>
          <t xml:space="preserve">Tras guardar redirige a /Personas con el aviso 'Registro creado correctamente.'; el registro aparece en el listado y en la base ('Valeria').</t>
        </is>
      </c>
      <c r="M108" s="17" t="inlineStr">
        <is>
          <t xml:space="preserve">EV-MVC-PER-02-formulario.png, EV-MVC-PER-02.png</t>
        </is>
      </c>
      <c r="N108" s="18">
        <v>46322</v>
      </c>
      <c r="O108" s="17" t="inlineStr">
        <is>
          <t xml:space="preserve">Automatizado</t>
        </is>
      </c>
      <c r="P108" s="17"/>
    </row>
    <row r="109" spans="1:16" ht="27.95">
      <c r="A109" s="15" t="s">
        <v>502</v>
      </c>
      <c r="B109" s="15" t="s">
        <v>70</v>
      </c>
      <c r="C109" s="1" t="s">
        <v>22</v>
      </c>
      <c r="D109" s="15" t="s">
        <v>156</v>
      </c>
      <c r="E109" s="15" t="s">
        <v>157</v>
      </c>
      <c r="F109" s="15" t="s">
        <v>100</v>
      </c>
      <c r="G109" s="1" t="s">
        <v>503</v>
      </c>
      <c r="H109" s="1" t="s">
        <v>504</v>
      </c>
      <c r="I109" s="1" t="s">
        <v>505</v>
      </c>
      <c r="J109" s="1" t="s">
        <v>506</v>
      </c>
      <c r="K109" s="16" t="inlineStr">
        <is>
          <t xml:space="preserve">Aprobado</t>
        </is>
      </c>
      <c r="L109" s="17" t="inlineStr">
        <is>
          <t xml:space="preserve">Formulario vacío: 4 mensajes junto a los campos; valores fuera de rango o longitud: 3 mensajes (El genero debe ser 'M' o 'F'.; El texto supera la longitud permitida.; Introduce un valor dentro del rango permitido.). No se guarda nada (6 -&gt; 6).</t>
        </is>
      </c>
      <c r="M109" s="17" t="inlineStr">
        <is>
          <t xml:space="preserve">EV-MVC-PER-03.png, EV-MVC-PER-03.txt</t>
        </is>
      </c>
      <c r="N109" s="18">
        <v>46322</v>
      </c>
      <c r="O109" s="17" t="inlineStr">
        <is>
          <t xml:space="preserve">Automatizado</t>
        </is>
      </c>
      <c r="P109" s="17"/>
    </row>
    <row r="110" spans="1:16" ht="27.95">
      <c r="A110" s="15" t="s">
        <v>507</v>
      </c>
      <c r="B110" s="15" t="s">
        <v>70</v>
      </c>
      <c r="C110" s="1" t="s">
        <v>22</v>
      </c>
      <c r="D110" s="15" t="s">
        <v>156</v>
      </c>
      <c r="E110" s="15" t="s">
        <v>157</v>
      </c>
      <c r="F110" s="15" t="s">
        <v>131</v>
      </c>
      <c r="G110" s="1" t="s">
        <v>508</v>
      </c>
      <c r="H110" s="1" t="s">
        <v>266</v>
      </c>
      <c r="I110" s="1" t="s">
        <v>509</v>
      </c>
      <c r="J110" s="1" t="s">
        <v>510</v>
      </c>
      <c r="K110" s="16" t="inlineStr">
        <is>
          <t xml:space="preserve">Aprobado</t>
        </is>
      </c>
      <c r="L110" s="17" t="inlineStr">
        <is>
          <t xml:space="preserve">Mensaje: 'Ya existe un registro con ese identificador.'; sin error técnico y sin guardar.</t>
        </is>
      </c>
      <c r="M110" s="17" t="inlineStr">
        <is>
          <t xml:space="preserve">EV-MVC-PER-04.png</t>
        </is>
      </c>
      <c r="N110" s="18">
        <v>46322</v>
      </c>
      <c r="O110" s="17" t="inlineStr">
        <is>
          <t xml:space="preserve">Automatizado</t>
        </is>
      </c>
      <c r="P110" s="17"/>
    </row>
    <row r="111" spans="1:16" ht="42">
      <c r="A111" s="15" t="s">
        <v>511</v>
      </c>
      <c r="B111" s="15" t="s">
        <v>63</v>
      </c>
      <c r="C111" s="1" t="s">
        <v>22</v>
      </c>
      <c r="D111" s="15" t="s">
        <v>156</v>
      </c>
      <c r="E111" s="15" t="s">
        <v>99</v>
      </c>
      <c r="F111" s="15" t="s">
        <v>131</v>
      </c>
      <c r="G111" s="1" t="s">
        <v>512</v>
      </c>
      <c r="H111" s="1" t="s">
        <v>266</v>
      </c>
      <c r="I111" s="1" t="s">
        <v>513</v>
      </c>
      <c r="J111" s="1" t="s">
        <v>514</v>
      </c>
      <c r="K111" s="16" t="inlineStr">
        <is>
          <t xml:space="preserve">Fallido</t>
        </is>
      </c>
      <c r="L111" s="17" t="inlineStr">
        <is>
          <t xml:space="preserve">El detalle muestra todos los campos. La clave inexistente responde 404 sin contenido (página en blanco).</t>
        </is>
      </c>
      <c r="M111" s="17" t="inlineStr">
        <is>
          <t xml:space="preserve">EV-MVC-PER-05.png, EV-MVC-PER-05-inexistente.png, EV-MVC-PER-05.txt</t>
        </is>
      </c>
      <c r="N111" s="18">
        <v>46322</v>
      </c>
      <c r="O111" s="17" t="inlineStr">
        <is>
          <t xml:space="preserve">Automatizado</t>
        </is>
      </c>
      <c r="P111" s="17" t="inlineStr">
        <is>
          <t xml:space="preserve">NotFound() sin UseStatusCodePages; la respuesta 404 no tiene cuerpo ni navegación. Defecto DEF-06. Re-prueba ronda 1 (28/10/2026, Pull Request #7): Aprobado. Evidencia en reprueba/ronda-1/EV-R1-MVC-PER-05.*.</t>
        </is>
      </c>
    </row>
    <row r="112" spans="1:16" ht="42">
      <c r="A112" s="15" t="s">
        <v>515</v>
      </c>
      <c r="B112" s="15" t="s">
        <v>63</v>
      </c>
      <c r="C112" s="1" t="s">
        <v>22</v>
      </c>
      <c r="D112" s="15" t="s">
        <v>156</v>
      </c>
      <c r="E112" s="15" t="s">
        <v>99</v>
      </c>
      <c r="F112" s="15" t="s">
        <v>100</v>
      </c>
      <c r="G112" s="1" t="s">
        <v>516</v>
      </c>
      <c r="H112" s="1" t="s">
        <v>266</v>
      </c>
      <c r="I112" s="1" t="s">
        <v>517</v>
      </c>
      <c r="J112" s="1" t="s">
        <v>518</v>
      </c>
      <c r="K112" s="16" t="inlineStr">
        <is>
          <t xml:space="preserve">Aprobado</t>
        </is>
      </c>
      <c r="L112" s="17" t="inlineStr">
        <is>
          <t xml:space="preserve">Formulario precargado ('Valeria'), clave no editable; el cambio a 'Valeria Editada' se guarda y se ve en el listado.</t>
        </is>
      </c>
      <c r="M112" s="17" t="inlineStr">
        <is>
          <t xml:space="preserve">EV-MVC-PER-06-formulario.png, EV-MVC-PER-06.png</t>
        </is>
      </c>
      <c r="N112" s="18">
        <v>46322</v>
      </c>
      <c r="O112" s="17" t="inlineStr">
        <is>
          <t xml:space="preserve">Automatizado</t>
        </is>
      </c>
      <c r="P112" s="17"/>
    </row>
    <row r="113" spans="1:16" ht="27.95">
      <c r="A113" s="15" t="s">
        <v>519</v>
      </c>
      <c r="B113" s="15" t="s">
        <v>63</v>
      </c>
      <c r="C113" s="1" t="s">
        <v>22</v>
      </c>
      <c r="D113" s="15" t="s">
        <v>156</v>
      </c>
      <c r="E113" s="15" t="s">
        <v>99</v>
      </c>
      <c r="F113" s="15" t="s">
        <v>100</v>
      </c>
      <c r="G113" s="1" t="s">
        <v>520</v>
      </c>
      <c r="H113" s="1" t="s">
        <v>521</v>
      </c>
      <c r="I113" s="1" t="s">
        <v>522</v>
      </c>
      <c r="J113" s="1" t="s">
        <v>523</v>
      </c>
      <c r="K113" s="16" t="inlineStr">
        <is>
          <t xml:space="preserve">Aprobado</t>
        </is>
      </c>
      <c r="L113" s="17" t="inlineStr">
        <is>
          <t xml:space="preserve">Cancelar conserva el registro (1); confirmar lo elimina (0) y vuelve al listado.</t>
        </is>
      </c>
      <c r="M113" s="17" t="inlineStr">
        <is>
          <t xml:space="preserve">EV-MVC-PER-07-confirmacion.png, EV-MVC-PER-07.png</t>
        </is>
      </c>
      <c r="N113" s="18">
        <v>46322</v>
      </c>
      <c r="O113" s="17" t="inlineStr">
        <is>
          <t xml:space="preserve">Automatizado</t>
        </is>
      </c>
      <c r="P113" s="17"/>
    </row>
    <row r="114" spans="1:16" ht="27.95">
      <c r="A114" s="15" t="s">
        <v>524</v>
      </c>
      <c r="B114" s="15" t="s">
        <v>70</v>
      </c>
      <c r="C114" s="1" t="s">
        <v>22</v>
      </c>
      <c r="D114" s="15" t="s">
        <v>156</v>
      </c>
      <c r="E114" s="15" t="s">
        <v>151</v>
      </c>
      <c r="F114" s="15" t="s">
        <v>100</v>
      </c>
      <c r="G114" s="1" t="s">
        <v>525</v>
      </c>
      <c r="H114" s="1" t="s">
        <v>309</v>
      </c>
      <c r="I114" s="1" t="s">
        <v>526</v>
      </c>
      <c r="J114" s="1" t="s">
        <v>527</v>
      </c>
      <c r="K114" s="16" t="inlineStr">
        <is>
          <t xml:space="preserve">Aprobado</t>
        </is>
      </c>
      <c r="L114" s="17" t="inlineStr">
        <is>
          <t xml:space="preserve">Se muestra 'No se pudo guardar: hay registros relacionados o una referencia que ya no existe.' y el registro 1001 permanece.</t>
        </is>
      </c>
      <c r="M114" s="17" t="inlineStr">
        <is>
          <t xml:space="preserve">EV-MVC-PER-08.png</t>
        </is>
      </c>
      <c r="N114" s="18">
        <v>46322</v>
      </c>
      <c r="O114" s="17" t="inlineStr">
        <is>
          <t xml:space="preserve">Automatizado</t>
        </is>
      </c>
      <c r="P114" s="17" t="inlineStr">
        <is>
          <t xml:space="preserve">El texto dice 'No se pudo guardar' en una eliminación y no nombra los teléfonos o estudios relacionados; la API usa un mensaje específico. Mejora sugerida: mensaje propio para eliminar.</t>
        </is>
      </c>
    </row>
    <row r="115" spans="1:16" ht="27.95">
      <c r="A115" s="15" t="s">
        <v>528</v>
      </c>
      <c r="B115" s="15" t="s">
        <v>63</v>
      </c>
      <c r="C115" s="1" t="s">
        <v>22</v>
      </c>
      <c r="D115" s="15" t="s">
        <v>120</v>
      </c>
      <c r="E115" s="15" t="s">
        <v>99</v>
      </c>
      <c r="F115" s="15" t="s">
        <v>100</v>
      </c>
      <c r="G115" s="1" t="s">
        <v>529</v>
      </c>
      <c r="H115" s="1" t="s">
        <v>494</v>
      </c>
      <c r="I115" s="1" t="s">
        <v>530</v>
      </c>
      <c r="J115" s="1" t="s">
        <v>531</v>
      </c>
      <c r="K115" s="16" t="inlineStr">
        <is>
          <t xml:space="preserve">Aprobado</t>
        </is>
      </c>
      <c r="L115" s="17" t="inlineStr">
        <is>
          <t xml:space="preserve">El menú abre /Telefonos; lista 5 registros (base: 5) con columnas Número, Operador, Dueño.</t>
        </is>
      </c>
      <c r="M115" s="17" t="inlineStr">
        <is>
          <t xml:space="preserve">EV-MVC-TEL-01.png, EV-MVC-TEL-01.txt</t>
        </is>
      </c>
      <c r="N115" s="18">
        <v>46322</v>
      </c>
      <c r="O115" s="17" t="inlineStr">
        <is>
          <t xml:space="preserve">Automatizado</t>
        </is>
      </c>
      <c r="P115" s="17" t="inlineStr">
        <is>
          <t xml:space="preserve">Sin datos: ver EV-MVC-LISTADO-VACIO.png.</t>
        </is>
      </c>
    </row>
    <row r="116" spans="1:16" ht="27.95">
      <c r="A116" s="15" t="s">
        <v>532</v>
      </c>
      <c r="B116" s="15" t="s">
        <v>63</v>
      </c>
      <c r="C116" s="1" t="s">
        <v>22</v>
      </c>
      <c r="D116" s="15" t="s">
        <v>120</v>
      </c>
      <c r="E116" s="15" t="s">
        <v>99</v>
      </c>
      <c r="F116" s="15" t="s">
        <v>100</v>
      </c>
      <c r="G116" s="1" t="s">
        <v>533</v>
      </c>
      <c r="H116" s="1" t="s">
        <v>499</v>
      </c>
      <c r="I116" s="1" t="s">
        <v>500</v>
      </c>
      <c r="J116" s="1" t="s">
        <v>501</v>
      </c>
      <c r="K116" s="16" t="inlineStr">
        <is>
          <t xml:space="preserve">Aprobado</t>
        </is>
      </c>
      <c r="L116" s="17" t="inlineStr">
        <is>
          <t xml:space="preserve">Tras guardar redirige a /Telefonos con el aviso 'Registro creado correctamente.'; el registro aparece en el listado y en la base ('Claro').</t>
        </is>
      </c>
      <c r="M116" s="17" t="inlineStr">
        <is>
          <t xml:space="preserve">EV-MVC-TEL-02-formulario.png, EV-MVC-TEL-02.png</t>
        </is>
      </c>
      <c r="N116" s="18">
        <v>46322</v>
      </c>
      <c r="O116" s="17" t="inlineStr">
        <is>
          <t xml:space="preserve">Automatizado</t>
        </is>
      </c>
      <c r="P116" s="17"/>
    </row>
    <row r="117" spans="1:16" ht="27.95">
      <c r="A117" s="15" t="s">
        <v>534</v>
      </c>
      <c r="B117" s="15" t="s">
        <v>70</v>
      </c>
      <c r="C117" s="1" t="s">
        <v>22</v>
      </c>
      <c r="D117" s="15" t="s">
        <v>120</v>
      </c>
      <c r="E117" s="15" t="s">
        <v>157</v>
      </c>
      <c r="F117" s="15" t="s">
        <v>100</v>
      </c>
      <c r="G117" s="1" t="s">
        <v>503</v>
      </c>
      <c r="H117" s="1" t="s">
        <v>504</v>
      </c>
      <c r="I117" s="1" t="s">
        <v>505</v>
      </c>
      <c r="J117" s="1" t="s">
        <v>506</v>
      </c>
      <c r="K117" s="16" t="inlineStr">
        <is>
          <t xml:space="preserve">Aprobado</t>
        </is>
      </c>
      <c r="L117" s="17" t="inlineStr">
        <is>
          <t xml:space="preserve">Formulario vacío: 3 mensajes junto a los campos; valores fuera de rango o longitud: 3 mensajes (El texto supera la longitud permitida.; Introduce un valor dentro del rango permitido.). No se guarda nada (6 -&gt; 6).</t>
        </is>
      </c>
      <c r="M117" s="17" t="inlineStr">
        <is>
          <t xml:space="preserve">EV-MVC-TEL-03.png, EV-MVC-TEL-03.txt</t>
        </is>
      </c>
      <c r="N117" s="18">
        <v>46322</v>
      </c>
      <c r="O117" s="17" t="inlineStr">
        <is>
          <t xml:space="preserve">Automatizado</t>
        </is>
      </c>
      <c r="P117" s="17"/>
    </row>
    <row r="118" spans="1:16" ht="27.95">
      <c r="A118" s="15" t="s">
        <v>535</v>
      </c>
      <c r="B118" s="15" t="s">
        <v>70</v>
      </c>
      <c r="C118" s="1" t="s">
        <v>22</v>
      </c>
      <c r="D118" s="15" t="s">
        <v>120</v>
      </c>
      <c r="E118" s="15" t="s">
        <v>157</v>
      </c>
      <c r="F118" s="15" t="s">
        <v>131</v>
      </c>
      <c r="G118" s="1" t="s">
        <v>508</v>
      </c>
      <c r="H118" s="1" t="s">
        <v>266</v>
      </c>
      <c r="I118" s="1" t="s">
        <v>509</v>
      </c>
      <c r="J118" s="1" t="s">
        <v>510</v>
      </c>
      <c r="K118" s="16" t="inlineStr">
        <is>
          <t xml:space="preserve">Aprobado</t>
        </is>
      </c>
      <c r="L118" s="17" t="inlineStr">
        <is>
          <t xml:space="preserve">Mensaje: 'Ya existe un registro con ese identificador.'; sin error técnico y sin guardar.</t>
        </is>
      </c>
      <c r="M118" s="17" t="inlineStr">
        <is>
          <t xml:space="preserve">EV-MVC-TEL-04.png</t>
        </is>
      </c>
      <c r="N118" s="18">
        <v>46322</v>
      </c>
      <c r="O118" s="17" t="inlineStr">
        <is>
          <t xml:space="preserve">Automatizado</t>
        </is>
      </c>
      <c r="P118" s="17"/>
    </row>
    <row r="119" spans="1:16" ht="42">
      <c r="A119" s="15" t="s">
        <v>536</v>
      </c>
      <c r="B119" s="15" t="s">
        <v>63</v>
      </c>
      <c r="C119" s="1" t="s">
        <v>22</v>
      </c>
      <c r="D119" s="15" t="s">
        <v>120</v>
      </c>
      <c r="E119" s="15" t="s">
        <v>99</v>
      </c>
      <c r="F119" s="15" t="s">
        <v>131</v>
      </c>
      <c r="G119" s="1" t="s">
        <v>512</v>
      </c>
      <c r="H119" s="1" t="s">
        <v>266</v>
      </c>
      <c r="I119" s="1" t="s">
        <v>513</v>
      </c>
      <c r="J119" s="1" t="s">
        <v>514</v>
      </c>
      <c r="K119" s="16" t="inlineStr">
        <is>
          <t xml:space="preserve">Fallido</t>
        </is>
      </c>
      <c r="L119" s="17" t="inlineStr">
        <is>
          <t xml:space="preserve">El detalle muestra todos los campos. La clave inexistente responde 404 sin contenido (página en blanco).</t>
        </is>
      </c>
      <c r="M119" s="17" t="inlineStr">
        <is>
          <t xml:space="preserve">EV-MVC-TEL-05.png, EV-MVC-TEL-05-inexistente.png, EV-MVC-TEL-05.txt</t>
        </is>
      </c>
      <c r="N119" s="18">
        <v>46322</v>
      </c>
      <c r="O119" s="17" t="inlineStr">
        <is>
          <t xml:space="preserve">Automatizado</t>
        </is>
      </c>
      <c r="P119" s="17" t="inlineStr">
        <is>
          <t xml:space="preserve">NotFound() sin UseStatusCodePages; la respuesta 404 no tiene cuerpo ni navegación. Defecto DEF-06. Re-prueba ronda 1 (28/10/2026, Pull Request #7): Aprobado. Evidencia en reprueba/ronda-1/EV-R1-MVC-TEL-05.*.</t>
        </is>
      </c>
    </row>
    <row r="120" spans="1:16" ht="42">
      <c r="A120" s="15" t="s">
        <v>537</v>
      </c>
      <c r="B120" s="15" t="s">
        <v>63</v>
      </c>
      <c r="C120" s="1" t="s">
        <v>22</v>
      </c>
      <c r="D120" s="15" t="s">
        <v>120</v>
      </c>
      <c r="E120" s="15" t="s">
        <v>99</v>
      </c>
      <c r="F120" s="15" t="s">
        <v>100</v>
      </c>
      <c r="G120" s="1" t="s">
        <v>516</v>
      </c>
      <c r="H120" s="1" t="s">
        <v>266</v>
      </c>
      <c r="I120" s="1" t="s">
        <v>517</v>
      </c>
      <c r="J120" s="1" t="s">
        <v>518</v>
      </c>
      <c r="K120" s="16" t="inlineStr">
        <is>
          <t xml:space="preserve">Aprobado</t>
        </is>
      </c>
      <c r="L120" s="17" t="inlineStr">
        <is>
          <t xml:space="preserve">Formulario precargado ('Claro'), clave no editable; el cambio a 'Movistar' se guarda y se ve en el listado.</t>
        </is>
      </c>
      <c r="M120" s="17" t="inlineStr">
        <is>
          <t xml:space="preserve">EV-MVC-TEL-06-formulario.png, EV-MVC-TEL-06.png</t>
        </is>
      </c>
      <c r="N120" s="18">
        <v>46322</v>
      </c>
      <c r="O120" s="17" t="inlineStr">
        <is>
          <t xml:space="preserve">Automatizado</t>
        </is>
      </c>
      <c r="P120" s="17"/>
    </row>
    <row r="121" spans="1:16" ht="27.95">
      <c r="A121" s="15" t="s">
        <v>538</v>
      </c>
      <c r="B121" s="15" t="s">
        <v>63</v>
      </c>
      <c r="C121" s="1" t="s">
        <v>22</v>
      </c>
      <c r="D121" s="15" t="s">
        <v>120</v>
      </c>
      <c r="E121" s="15" t="s">
        <v>99</v>
      </c>
      <c r="F121" s="15" t="s">
        <v>100</v>
      </c>
      <c r="G121" s="1" t="s">
        <v>520</v>
      </c>
      <c r="H121" s="1" t="s">
        <v>521</v>
      </c>
      <c r="I121" s="1" t="s">
        <v>522</v>
      </c>
      <c r="J121" s="1" t="s">
        <v>523</v>
      </c>
      <c r="K121" s="16" t="inlineStr">
        <is>
          <t xml:space="preserve">Aprobado</t>
        </is>
      </c>
      <c r="L121" s="17" t="inlineStr">
        <is>
          <t xml:space="preserve">Cancelar conserva el registro (1); confirmar lo elimina (0) y vuelve al listado.</t>
        </is>
      </c>
      <c r="M121" s="17" t="inlineStr">
        <is>
          <t xml:space="preserve">EV-MVC-TEL-07-confirmacion.png, EV-MVC-TEL-07.png</t>
        </is>
      </c>
      <c r="N121" s="18">
        <v>46322</v>
      </c>
      <c r="O121" s="17" t="inlineStr">
        <is>
          <t xml:space="preserve">Automatizado</t>
        </is>
      </c>
      <c r="P121" s="17"/>
    </row>
    <row r="122" spans="1:16" ht="42">
      <c r="A122" s="15" t="s">
        <v>539</v>
      </c>
      <c r="B122" s="15" t="s">
        <v>70</v>
      </c>
      <c r="C122" s="1" t="s">
        <v>22</v>
      </c>
      <c r="D122" s="15" t="s">
        <v>120</v>
      </c>
      <c r="E122" s="15" t="s">
        <v>151</v>
      </c>
      <c r="F122" s="15" t="s">
        <v>100</v>
      </c>
      <c r="G122" s="1" t="s">
        <v>540</v>
      </c>
      <c r="H122" s="1" t="s">
        <v>504</v>
      </c>
      <c r="I122" s="1" t="s">
        <v>541</v>
      </c>
      <c r="J122" s="1" t="s">
        <v>542</v>
      </c>
      <c r="K122" s="16" t="inlineStr">
        <is>
          <t xml:space="preserve">Aprobado</t>
        </is>
      </c>
      <c r="L122" s="17" t="inlineStr">
        <is>
          <t xml:space="preserve">Los selectores listan las 6 opciones existentes; el envío manipulado con referencias inexistentes responde 200 con 'Selecciona una persona existente.' y no se guarda.</t>
        </is>
      </c>
      <c r="M122" s="17" t="inlineStr">
        <is>
          <t xml:space="preserve">EV-MVC-TEL-08-selectores.png, EV-MVC-TEL-08.txt</t>
        </is>
      </c>
      <c r="N122" s="18">
        <v>46322</v>
      </c>
      <c r="O122" s="17" t="inlineStr">
        <is>
          <t xml:space="preserve">Automatizado</t>
        </is>
      </c>
      <c r="P122" s="17"/>
    </row>
    <row r="123" spans="1:16" ht="27.95">
      <c r="A123" s="15" t="s">
        <v>543</v>
      </c>
      <c r="B123" s="15" t="s">
        <v>63</v>
      </c>
      <c r="C123" s="1" t="s">
        <v>22</v>
      </c>
      <c r="D123" s="15" t="s">
        <v>191</v>
      </c>
      <c r="E123" s="15" t="s">
        <v>99</v>
      </c>
      <c r="F123" s="15" t="s">
        <v>100</v>
      </c>
      <c r="G123" s="1" t="s">
        <v>544</v>
      </c>
      <c r="H123" s="1" t="s">
        <v>494</v>
      </c>
      <c r="I123" s="1" t="s">
        <v>545</v>
      </c>
      <c r="J123" s="1" t="s">
        <v>546</v>
      </c>
      <c r="K123" s="16" t="inlineStr">
        <is>
          <t xml:space="preserve">Aprobado</t>
        </is>
      </c>
      <c r="L123" s="17" t="inlineStr">
        <is>
          <t xml:space="preserve">El menú abre /Profesiones; lista 4 registros (base: 4) con columnas ID, Nombre, Descripción.</t>
        </is>
      </c>
      <c r="M123" s="17" t="inlineStr">
        <is>
          <t xml:space="preserve">EV-MVC-PRO-01.png, EV-MVC-PRO-01.txt</t>
        </is>
      </c>
      <c r="N123" s="18">
        <v>46322</v>
      </c>
      <c r="O123" s="17" t="inlineStr">
        <is>
          <t xml:space="preserve">Automatizado</t>
        </is>
      </c>
      <c r="P123" s="17" t="inlineStr">
        <is>
          <t xml:space="preserve">Sin datos: ver EV-MVC-LISTADO-VACIO.png.</t>
        </is>
      </c>
    </row>
    <row r="124" spans="1:16" ht="27.95">
      <c r="A124" s="15" t="s">
        <v>547</v>
      </c>
      <c r="B124" s="15" t="s">
        <v>63</v>
      </c>
      <c r="C124" s="1" t="s">
        <v>22</v>
      </c>
      <c r="D124" s="15" t="s">
        <v>191</v>
      </c>
      <c r="E124" s="15" t="s">
        <v>99</v>
      </c>
      <c r="F124" s="15" t="s">
        <v>100</v>
      </c>
      <c r="G124" s="1" t="s">
        <v>548</v>
      </c>
      <c r="H124" s="1" t="s">
        <v>499</v>
      </c>
      <c r="I124" s="1" t="s">
        <v>500</v>
      </c>
      <c r="J124" s="1" t="s">
        <v>501</v>
      </c>
      <c r="K124" s="16" t="inlineStr">
        <is>
          <t xml:space="preserve">Aprobado</t>
        </is>
      </c>
      <c r="L124" s="17" t="inlineStr">
        <is>
          <t xml:space="preserve">Tras guardar redirige a /Profesiones con el aviso 'Registro creado correctamente.'; el registro aparece en el listado y en la base ('Arquitecto de Software').</t>
        </is>
      </c>
      <c r="M124" s="17" t="inlineStr">
        <is>
          <t xml:space="preserve">EV-MVC-PRO-02-formulario.png, EV-MVC-PRO-02.png</t>
        </is>
      </c>
      <c r="N124" s="18">
        <v>46322</v>
      </c>
      <c r="O124" s="17" t="inlineStr">
        <is>
          <t xml:space="preserve">Automatizado</t>
        </is>
      </c>
      <c r="P124" s="17"/>
    </row>
    <row r="125" spans="1:16" ht="27.95">
      <c r="A125" s="15" t="s">
        <v>549</v>
      </c>
      <c r="B125" s="15" t="s">
        <v>70</v>
      </c>
      <c r="C125" s="1" t="s">
        <v>22</v>
      </c>
      <c r="D125" s="15" t="s">
        <v>191</v>
      </c>
      <c r="E125" s="15" t="s">
        <v>157</v>
      </c>
      <c r="F125" s="15" t="s">
        <v>100</v>
      </c>
      <c r="G125" s="1" t="s">
        <v>503</v>
      </c>
      <c r="H125" s="1" t="s">
        <v>504</v>
      </c>
      <c r="I125" s="1" t="s">
        <v>505</v>
      </c>
      <c r="J125" s="1" t="s">
        <v>506</v>
      </c>
      <c r="K125" s="16" t="inlineStr">
        <is>
          <t xml:space="preserve">Aprobado</t>
        </is>
      </c>
      <c r="L125" s="17" t="inlineStr">
        <is>
          <t xml:space="preserve">Formulario vacío: 2 mensajes junto a los campos; valores fuera de rango o longitud: 2 mensajes (El texto supera la longitud permitida.; Introduce un valor dentro del rango permitido.). No se guarda nada (5 -&gt; 5).</t>
        </is>
      </c>
      <c r="M125" s="17" t="inlineStr">
        <is>
          <t xml:space="preserve">EV-MVC-PRO-03.png, EV-MVC-PRO-03.txt</t>
        </is>
      </c>
      <c r="N125" s="18">
        <v>46322</v>
      </c>
      <c r="O125" s="17" t="inlineStr">
        <is>
          <t xml:space="preserve">Automatizado</t>
        </is>
      </c>
      <c r="P125" s="17"/>
    </row>
    <row r="126" spans="1:16" ht="27.95">
      <c r="A126" s="15" t="s">
        <v>550</v>
      </c>
      <c r="B126" s="15" t="s">
        <v>70</v>
      </c>
      <c r="C126" s="1" t="s">
        <v>22</v>
      </c>
      <c r="D126" s="15" t="s">
        <v>191</v>
      </c>
      <c r="E126" s="15" t="s">
        <v>157</v>
      </c>
      <c r="F126" s="15" t="s">
        <v>131</v>
      </c>
      <c r="G126" s="1" t="s">
        <v>508</v>
      </c>
      <c r="H126" s="1" t="s">
        <v>266</v>
      </c>
      <c r="I126" s="1" t="s">
        <v>509</v>
      </c>
      <c r="J126" s="1" t="s">
        <v>510</v>
      </c>
      <c r="K126" s="16" t="inlineStr">
        <is>
          <t xml:space="preserve">Aprobado</t>
        </is>
      </c>
      <c r="L126" s="17" t="inlineStr">
        <is>
          <t xml:space="preserve">Mensaje: 'Ya existe un registro con ese identificador.'; sin error técnico y sin guardar.</t>
        </is>
      </c>
      <c r="M126" s="17" t="inlineStr">
        <is>
          <t xml:space="preserve">EV-MVC-PRO-04.png</t>
        </is>
      </c>
      <c r="N126" s="18">
        <v>46322</v>
      </c>
      <c r="O126" s="17" t="inlineStr">
        <is>
          <t xml:space="preserve">Automatizado</t>
        </is>
      </c>
      <c r="P126" s="17"/>
    </row>
    <row r="127" spans="1:16" ht="42">
      <c r="A127" s="15" t="s">
        <v>551</v>
      </c>
      <c r="B127" s="15" t="s">
        <v>63</v>
      </c>
      <c r="C127" s="1" t="s">
        <v>22</v>
      </c>
      <c r="D127" s="15" t="s">
        <v>191</v>
      </c>
      <c r="E127" s="15" t="s">
        <v>99</v>
      </c>
      <c r="F127" s="15" t="s">
        <v>131</v>
      </c>
      <c r="G127" s="1" t="s">
        <v>512</v>
      </c>
      <c r="H127" s="1" t="s">
        <v>266</v>
      </c>
      <c r="I127" s="1" t="s">
        <v>513</v>
      </c>
      <c r="J127" s="1" t="s">
        <v>514</v>
      </c>
      <c r="K127" s="16" t="inlineStr">
        <is>
          <t xml:space="preserve">Fallido</t>
        </is>
      </c>
      <c r="L127" s="17" t="inlineStr">
        <is>
          <t xml:space="preserve">El detalle muestra todos los campos. La clave inexistente responde 404 sin contenido (página en blanco).</t>
        </is>
      </c>
      <c r="M127" s="17" t="inlineStr">
        <is>
          <t xml:space="preserve">EV-MVC-PRO-05.png, EV-MVC-PRO-05-inexistente.png, EV-MVC-PRO-05.txt</t>
        </is>
      </c>
      <c r="N127" s="18">
        <v>46322</v>
      </c>
      <c r="O127" s="17" t="inlineStr">
        <is>
          <t xml:space="preserve">Automatizado</t>
        </is>
      </c>
      <c r="P127" s="17" t="inlineStr">
        <is>
          <t xml:space="preserve">NotFound() sin UseStatusCodePages; la respuesta 404 no tiene cuerpo ni navegación. Defecto DEF-06. Re-prueba ronda 1 (28/10/2026, Pull Request #7): Aprobado. Evidencia en reprueba/ronda-1/EV-R1-MVC-PRO-05.*.</t>
        </is>
      </c>
    </row>
    <row r="128" spans="1:16" ht="42">
      <c r="A128" s="15" t="s">
        <v>552</v>
      </c>
      <c r="B128" s="15" t="s">
        <v>63</v>
      </c>
      <c r="C128" s="1" t="s">
        <v>22</v>
      </c>
      <c r="D128" s="15" t="s">
        <v>191</v>
      </c>
      <c r="E128" s="15" t="s">
        <v>99</v>
      </c>
      <c r="F128" s="15" t="s">
        <v>100</v>
      </c>
      <c r="G128" s="1" t="s">
        <v>516</v>
      </c>
      <c r="H128" s="1" t="s">
        <v>266</v>
      </c>
      <c r="I128" s="1" t="s">
        <v>517</v>
      </c>
      <c r="J128" s="1" t="s">
        <v>518</v>
      </c>
      <c r="K128" s="16" t="inlineStr">
        <is>
          <t xml:space="preserve">Aprobado</t>
        </is>
      </c>
      <c r="L128" s="17" t="inlineStr">
        <is>
          <t xml:space="preserve">Formulario precargado ('Arquitecto de Software'), clave no editable; el cambio a 'Arquitecto de Software Senior' se guarda y se ve en el listado.</t>
        </is>
      </c>
      <c r="M128" s="17" t="inlineStr">
        <is>
          <t xml:space="preserve">EV-MVC-PRO-06-formulario.png, EV-MVC-PRO-06.png</t>
        </is>
      </c>
      <c r="N128" s="18">
        <v>46322</v>
      </c>
      <c r="O128" s="17" t="inlineStr">
        <is>
          <t xml:space="preserve">Automatizado</t>
        </is>
      </c>
      <c r="P128" s="17"/>
    </row>
    <row r="129" spans="1:16" ht="27.95">
      <c r="A129" s="15" t="s">
        <v>553</v>
      </c>
      <c r="B129" s="15" t="s">
        <v>63</v>
      </c>
      <c r="C129" s="1" t="s">
        <v>22</v>
      </c>
      <c r="D129" s="15" t="s">
        <v>191</v>
      </c>
      <c r="E129" s="15" t="s">
        <v>99</v>
      </c>
      <c r="F129" s="15" t="s">
        <v>100</v>
      </c>
      <c r="G129" s="1" t="s">
        <v>520</v>
      </c>
      <c r="H129" s="1" t="s">
        <v>521</v>
      </c>
      <c r="I129" s="1" t="s">
        <v>522</v>
      </c>
      <c r="J129" s="1" t="s">
        <v>523</v>
      </c>
      <c r="K129" s="16" t="inlineStr">
        <is>
          <t xml:space="preserve">Aprobado</t>
        </is>
      </c>
      <c r="L129" s="17" t="inlineStr">
        <is>
          <t xml:space="preserve">Cancelar conserva el registro (1); confirmar lo elimina (0) y vuelve al listado.</t>
        </is>
      </c>
      <c r="M129" s="17" t="inlineStr">
        <is>
          <t xml:space="preserve">EV-MVC-PRO-07-confirmacion.png, EV-MVC-PRO-07.png</t>
        </is>
      </c>
      <c r="N129" s="18">
        <v>46322</v>
      </c>
      <c r="O129" s="17" t="inlineStr">
        <is>
          <t xml:space="preserve">Automatizado</t>
        </is>
      </c>
      <c r="P129" s="17"/>
    </row>
    <row r="130" spans="1:16" ht="27.95">
      <c r="A130" s="15" t="s">
        <v>554</v>
      </c>
      <c r="B130" s="15" t="s">
        <v>70</v>
      </c>
      <c r="C130" s="1" t="s">
        <v>22</v>
      </c>
      <c r="D130" s="15" t="s">
        <v>191</v>
      </c>
      <c r="E130" s="15" t="s">
        <v>151</v>
      </c>
      <c r="F130" s="15" t="s">
        <v>100</v>
      </c>
      <c r="G130" s="1" t="s">
        <v>555</v>
      </c>
      <c r="H130" s="1" t="s">
        <v>309</v>
      </c>
      <c r="I130" s="1" t="s">
        <v>526</v>
      </c>
      <c r="J130" s="1" t="s">
        <v>527</v>
      </c>
      <c r="K130" s="16" t="inlineStr">
        <is>
          <t xml:space="preserve">Aprobado</t>
        </is>
      </c>
      <c r="L130" s="17" t="inlineStr">
        <is>
          <t xml:space="preserve">Se muestra 'No se pudo guardar: hay registros relacionados o una referencia que ya no existe.' y el registro 1 permanece.</t>
        </is>
      </c>
      <c r="M130" s="17" t="inlineStr">
        <is>
          <t xml:space="preserve">EV-MVC-PRO-08.png</t>
        </is>
      </c>
      <c r="N130" s="18">
        <v>46322</v>
      </c>
      <c r="O130" s="17" t="inlineStr">
        <is>
          <t xml:space="preserve">Automatizado</t>
        </is>
      </c>
      <c r="P130" s="17" t="inlineStr">
        <is>
          <t xml:space="preserve">El texto dice 'No se pudo guardar' en una eliminación y no nombra los teléfonos o estudios relacionados; la API usa un mensaje específico. Mejora sugerida: mensaje propio para eliminar.</t>
        </is>
      </c>
    </row>
    <row r="131" spans="1:16" ht="42">
      <c r="A131" s="15" t="s">
        <v>556</v>
      </c>
      <c r="B131" s="15" t="s">
        <v>63</v>
      </c>
      <c r="C131" s="1" t="s">
        <v>22</v>
      </c>
      <c r="D131" s="15" t="s">
        <v>125</v>
      </c>
      <c r="E131" s="15" t="s">
        <v>99</v>
      </c>
      <c r="F131" s="15" t="s">
        <v>100</v>
      </c>
      <c r="G131" s="1" t="s">
        <v>557</v>
      </c>
      <c r="H131" s="1" t="s">
        <v>494</v>
      </c>
      <c r="I131" s="1" t="s">
        <v>558</v>
      </c>
      <c r="J131" s="1" t="s">
        <v>559</v>
      </c>
      <c r="K131" s="16" t="inlineStr">
        <is>
          <t xml:space="preserve">Aprobado</t>
        </is>
      </c>
      <c r="L131" s="17" t="inlineStr">
        <is>
          <t xml:space="preserve">El menú abre /Estudios; lista 6 registros (base: 6) con columnas Persona, Profesión, Fecha, Universidad.</t>
        </is>
      </c>
      <c r="M131" s="17" t="inlineStr">
        <is>
          <t xml:space="preserve">EV-MVC-EST-01.png, EV-MVC-EST-01.txt</t>
        </is>
      </c>
      <c r="N131" s="18">
        <v>46322</v>
      </c>
      <c r="O131" s="17" t="inlineStr">
        <is>
          <t xml:space="preserve">Automatizado</t>
        </is>
      </c>
      <c r="P131" s="17" t="inlineStr">
        <is>
          <t xml:space="preserve">Sin datos: ver EV-MVC-LISTADO-VACIO.png.</t>
        </is>
      </c>
    </row>
    <row r="132" spans="1:16" ht="27.95">
      <c r="A132" s="15" t="s">
        <v>560</v>
      </c>
      <c r="B132" s="15" t="s">
        <v>63</v>
      </c>
      <c r="C132" s="1" t="s">
        <v>22</v>
      </c>
      <c r="D132" s="15" t="s">
        <v>125</v>
      </c>
      <c r="E132" s="15" t="s">
        <v>99</v>
      </c>
      <c r="F132" s="15" t="s">
        <v>100</v>
      </c>
      <c r="G132" s="1" t="s">
        <v>561</v>
      </c>
      <c r="H132" s="1" t="s">
        <v>499</v>
      </c>
      <c r="I132" s="1" t="s">
        <v>500</v>
      </c>
      <c r="J132" s="1" t="s">
        <v>501</v>
      </c>
      <c r="K132" s="16" t="inlineStr">
        <is>
          <t xml:space="preserve">Aprobado</t>
        </is>
      </c>
      <c r="L132" s="17" t="inlineStr">
        <is>
          <t xml:space="preserve">Tras guardar redirige a /Estudios con el aviso 'Registro creado correctamente.'; el registro aparece en el listado y en la base ('Universidad QA').</t>
        </is>
      </c>
      <c r="M132" s="17" t="inlineStr">
        <is>
          <t xml:space="preserve">EV-MVC-EST-02-formulario.png, EV-MVC-EST-02.png</t>
        </is>
      </c>
      <c r="N132" s="18">
        <v>46322</v>
      </c>
      <c r="O132" s="17" t="inlineStr">
        <is>
          <t xml:space="preserve">Automatizado</t>
        </is>
      </c>
      <c r="P132" s="17"/>
    </row>
    <row r="133" spans="1:16" ht="27.95">
      <c r="A133" s="15" t="s">
        <v>562</v>
      </c>
      <c r="B133" s="15" t="s">
        <v>70</v>
      </c>
      <c r="C133" s="1" t="s">
        <v>22</v>
      </c>
      <c r="D133" s="15" t="s">
        <v>125</v>
      </c>
      <c r="E133" s="15" t="s">
        <v>157</v>
      </c>
      <c r="F133" s="15" t="s">
        <v>100</v>
      </c>
      <c r="G133" s="1" t="s">
        <v>503</v>
      </c>
      <c r="H133" s="1" t="s">
        <v>504</v>
      </c>
      <c r="I133" s="1" t="s">
        <v>505</v>
      </c>
      <c r="J133" s="1" t="s">
        <v>506</v>
      </c>
      <c r="K133" s="16" t="inlineStr">
        <is>
          <t xml:space="preserve">Aprobado</t>
        </is>
      </c>
      <c r="L133" s="17" t="inlineStr">
        <is>
          <t xml:space="preserve">Formulario vacío: 2 mensajes junto a los campos; valores fuera de rango o longitud: 1 mensajes (El texto supera la longitud permitida.). No se guarda nada (7 -&gt; 7).</t>
        </is>
      </c>
      <c r="M133" s="17" t="inlineStr">
        <is>
          <t xml:space="preserve">EV-MVC-EST-03.png, EV-MVC-EST-03.txt</t>
        </is>
      </c>
      <c r="N133" s="18">
        <v>46322</v>
      </c>
      <c r="O133" s="17" t="inlineStr">
        <is>
          <t xml:space="preserve">Automatizado</t>
        </is>
      </c>
      <c r="P133" s="17"/>
    </row>
    <row r="134" spans="1:16" ht="27.95">
      <c r="A134" s="15" t="s">
        <v>563</v>
      </c>
      <c r="B134" s="15" t="s">
        <v>70</v>
      </c>
      <c r="C134" s="1" t="s">
        <v>22</v>
      </c>
      <c r="D134" s="15" t="s">
        <v>125</v>
      </c>
      <c r="E134" s="15" t="s">
        <v>157</v>
      </c>
      <c r="F134" s="15" t="s">
        <v>131</v>
      </c>
      <c r="G134" s="1" t="s">
        <v>508</v>
      </c>
      <c r="H134" s="1" t="s">
        <v>266</v>
      </c>
      <c r="I134" s="1" t="s">
        <v>509</v>
      </c>
      <c r="J134" s="1" t="s">
        <v>510</v>
      </c>
      <c r="K134" s="16" t="inlineStr">
        <is>
          <t xml:space="preserve">Aprobado</t>
        </is>
      </c>
      <c r="L134" s="17" t="inlineStr">
        <is>
          <t xml:space="preserve">Mensaje: 'Ya existe un registro con ese identificador.'; sin error técnico y sin guardar.</t>
        </is>
      </c>
      <c r="M134" s="17" t="inlineStr">
        <is>
          <t xml:space="preserve">EV-MVC-EST-04.png</t>
        </is>
      </c>
      <c r="N134" s="18">
        <v>46322</v>
      </c>
      <c r="O134" s="17" t="inlineStr">
        <is>
          <t xml:space="preserve">Automatizado</t>
        </is>
      </c>
      <c r="P134" s="17"/>
    </row>
    <row r="135" spans="1:16" ht="42">
      <c r="A135" s="15" t="s">
        <v>564</v>
      </c>
      <c r="B135" s="15" t="s">
        <v>63</v>
      </c>
      <c r="C135" s="1" t="s">
        <v>22</v>
      </c>
      <c r="D135" s="15" t="s">
        <v>125</v>
      </c>
      <c r="E135" s="15" t="s">
        <v>99</v>
      </c>
      <c r="F135" s="15" t="s">
        <v>131</v>
      </c>
      <c r="G135" s="1" t="s">
        <v>512</v>
      </c>
      <c r="H135" s="1" t="s">
        <v>266</v>
      </c>
      <c r="I135" s="1" t="s">
        <v>513</v>
      </c>
      <c r="J135" s="1" t="s">
        <v>514</v>
      </c>
      <c r="K135" s="16" t="inlineStr">
        <is>
          <t xml:space="preserve">Fallido</t>
        </is>
      </c>
      <c r="L135" s="17" t="inlineStr">
        <is>
          <t xml:space="preserve">El detalle muestra todos los campos. La clave inexistente responde 404 sin contenido (página en blanco).</t>
        </is>
      </c>
      <c r="M135" s="17" t="inlineStr">
        <is>
          <t xml:space="preserve">EV-MVC-EST-05.png, EV-MVC-EST-05-inexistente.png, EV-MVC-EST-05.txt</t>
        </is>
      </c>
      <c r="N135" s="18">
        <v>46322</v>
      </c>
      <c r="O135" s="17" t="inlineStr">
        <is>
          <t xml:space="preserve">Automatizado</t>
        </is>
      </c>
      <c r="P135" s="17" t="inlineStr">
        <is>
          <t xml:space="preserve">NotFound() sin UseStatusCodePages; la respuesta 404 no tiene cuerpo ni navegación. Defecto DEF-06. Re-prueba ronda 1 (28/10/2026, Pull Request #7): Aprobado. Evidencia en reprueba/ronda-1/EV-R1-MVC-EST-05.*.</t>
        </is>
      </c>
    </row>
    <row r="136" spans="1:16" ht="42">
      <c r="A136" s="15" t="s">
        <v>565</v>
      </c>
      <c r="B136" s="15" t="s">
        <v>63</v>
      </c>
      <c r="C136" s="1" t="s">
        <v>22</v>
      </c>
      <c r="D136" s="15" t="s">
        <v>125</v>
      </c>
      <c r="E136" s="15" t="s">
        <v>99</v>
      </c>
      <c r="F136" s="15" t="s">
        <v>100</v>
      </c>
      <c r="G136" s="1" t="s">
        <v>516</v>
      </c>
      <c r="H136" s="1" t="s">
        <v>266</v>
      </c>
      <c r="I136" s="1" t="s">
        <v>517</v>
      </c>
      <c r="J136" s="1" t="s">
        <v>518</v>
      </c>
      <c r="K136" s="16" t="inlineStr">
        <is>
          <t xml:space="preserve">Aprobado</t>
        </is>
      </c>
      <c r="L136" s="17" t="inlineStr">
        <is>
          <t xml:space="preserve">Formulario precargado ('Universidad QA'), clave no editable; el cambio a 'Universidad QA Editada' se guarda y se ve en el listado.</t>
        </is>
      </c>
      <c r="M136" s="17" t="inlineStr">
        <is>
          <t xml:space="preserve">EV-MVC-EST-06-formulario.png, EV-MVC-EST-06.png</t>
        </is>
      </c>
      <c r="N136" s="18">
        <v>46322</v>
      </c>
      <c r="O136" s="17" t="inlineStr">
        <is>
          <t xml:space="preserve">Automatizado</t>
        </is>
      </c>
      <c r="P136" s="17"/>
    </row>
    <row r="137" spans="1:16" ht="27.95">
      <c r="A137" s="15" t="s">
        <v>566</v>
      </c>
      <c r="B137" s="15" t="s">
        <v>63</v>
      </c>
      <c r="C137" s="1" t="s">
        <v>22</v>
      </c>
      <c r="D137" s="15" t="s">
        <v>125</v>
      </c>
      <c r="E137" s="15" t="s">
        <v>99</v>
      </c>
      <c r="F137" s="15" t="s">
        <v>100</v>
      </c>
      <c r="G137" s="1" t="s">
        <v>520</v>
      </c>
      <c r="H137" s="1" t="s">
        <v>521</v>
      </c>
      <c r="I137" s="1" t="s">
        <v>522</v>
      </c>
      <c r="J137" s="1" t="s">
        <v>523</v>
      </c>
      <c r="K137" s="16" t="inlineStr">
        <is>
          <t xml:space="preserve">Aprobado</t>
        </is>
      </c>
      <c r="L137" s="17" t="inlineStr">
        <is>
          <t xml:space="preserve">Cancelar conserva el registro (1); confirmar lo elimina (0) y vuelve al listado.</t>
        </is>
      </c>
      <c r="M137" s="17" t="inlineStr">
        <is>
          <t xml:space="preserve">EV-MVC-EST-07-confirmacion.png, EV-MVC-EST-07.png</t>
        </is>
      </c>
      <c r="N137" s="18">
        <v>46322</v>
      </c>
      <c r="O137" s="17" t="inlineStr">
        <is>
          <t xml:space="preserve">Automatizado</t>
        </is>
      </c>
      <c r="P137" s="17"/>
    </row>
    <row r="138" spans="1:16" ht="42">
      <c r="A138" s="15" t="s">
        <v>567</v>
      </c>
      <c r="B138" s="15" t="s">
        <v>70</v>
      </c>
      <c r="C138" s="1" t="s">
        <v>22</v>
      </c>
      <c r="D138" s="15" t="s">
        <v>125</v>
      </c>
      <c r="E138" s="15" t="s">
        <v>151</v>
      </c>
      <c r="F138" s="15" t="s">
        <v>100</v>
      </c>
      <c r="G138" s="1" t="s">
        <v>568</v>
      </c>
      <c r="H138" s="1" t="s">
        <v>504</v>
      </c>
      <c r="I138" s="1" t="s">
        <v>541</v>
      </c>
      <c r="J138" s="1" t="s">
        <v>542</v>
      </c>
      <c r="K138" s="16" t="inlineStr">
        <is>
          <t xml:space="preserve">Aprobado</t>
        </is>
      </c>
      <c r="L138" s="17" t="inlineStr">
        <is>
          <t xml:space="preserve">Los selectores listan las 6 opciones existentes; el envío manipulado con referencias inexistentes responde 200 con 'Selecciona una profesión existente.; Selecciona una persona existente.' y no se guarda.</t>
        </is>
      </c>
      <c r="M138" s="17" t="inlineStr">
        <is>
          <t xml:space="preserve">EV-MVC-EST-08-selectores.png, EV-MVC-EST-08.txt</t>
        </is>
      </c>
      <c r="N138" s="18">
        <v>46322</v>
      </c>
      <c r="O138" s="17" t="inlineStr">
        <is>
          <t xml:space="preserve">Automatizado</t>
        </is>
      </c>
      <c r="P138" s="17"/>
    </row>
    <row r="139" spans="1:16">
      <c r="A139" s="15" t="s">
        <v>569</v>
      </c>
      <c r="B139" s="15" t="s">
        <v>63</v>
      </c>
      <c r="C139" s="1" t="s">
        <v>22</v>
      </c>
      <c r="D139" s="15" t="s">
        <v>98</v>
      </c>
      <c r="E139" s="15" t="s">
        <v>99</v>
      </c>
      <c r="F139" s="15" t="s">
        <v>100</v>
      </c>
      <c r="G139" s="1" t="s">
        <v>570</v>
      </c>
      <c r="H139" s="1" t="s">
        <v>256</v>
      </c>
      <c r="I139" s="1" t="s">
        <v>571</v>
      </c>
      <c r="J139" s="1" t="s">
        <v>572</v>
      </c>
      <c r="K139" s="16" t="inlineStr">
        <is>
          <t xml:space="preserve">Aprobado</t>
        </is>
      </c>
      <c r="L139" s="17" t="inlineStr">
        <is>
          <t xml:space="preserve">Inicio y 5 enlaces del menú responden 200: Inicio; Personas; Teléfonos; Profesiones; Estudios; Marca (Inicio).</t>
        </is>
      </c>
      <c r="M139" s="17" t="inlineStr">
        <is>
          <t xml:space="preserve">EV-MVC-GEN-01.txt</t>
        </is>
      </c>
      <c r="N139" s="18">
        <v>46322</v>
      </c>
      <c r="O139" s="17" t="inlineStr">
        <is>
          <t xml:space="preserve">Automatizado</t>
        </is>
      </c>
      <c r="P139" s="17"/>
    </row>
    <row r="140" spans="1:16" ht="27.95">
      <c r="A140" s="15" t="s">
        <v>573</v>
      </c>
      <c r="B140" s="15" t="s">
        <v>63</v>
      </c>
      <c r="C140" s="1" t="s">
        <v>22</v>
      </c>
      <c r="D140" s="15" t="s">
        <v>98</v>
      </c>
      <c r="E140" s="15" t="s">
        <v>99</v>
      </c>
      <c r="F140" s="15" t="s">
        <v>131</v>
      </c>
      <c r="G140" s="1" t="s">
        <v>574</v>
      </c>
      <c r="H140" s="1" t="s">
        <v>256</v>
      </c>
      <c r="I140" s="1" t="s">
        <v>575</v>
      </c>
      <c r="J140" s="1" t="s">
        <v>576</v>
      </c>
      <c r="K140" s="16" t="inlineStr">
        <is>
          <t xml:space="preserve">Aprobado</t>
        </is>
      </c>
      <c r="L140" s="17" t="inlineStr">
        <is>
          <t xml:space="preserve">La página de inicio muestra 'Módulos del sistema' con acceso a Personas, Teléfonos, Profesiones, Estudios.</t>
        </is>
      </c>
      <c r="M140" s="17" t="inlineStr">
        <is>
          <t xml:space="preserve">EV-MVC-GEN-02.png</t>
        </is>
      </c>
      <c r="N140" s="18">
        <v>46322</v>
      </c>
      <c r="O140" s="17" t="inlineStr">
        <is>
          <t xml:space="preserve">Automatizado</t>
        </is>
      </c>
      <c r="P140" s="17"/>
    </row>
    <row r="141" spans="1:16" ht="27.95">
      <c r="A141" s="15" t="s">
        <v>577</v>
      </c>
      <c r="B141" s="15" t="s">
        <v>63</v>
      </c>
      <c r="C141" s="1" t="s">
        <v>22</v>
      </c>
      <c r="D141" s="15" t="s">
        <v>98</v>
      </c>
      <c r="E141" s="15" t="s">
        <v>217</v>
      </c>
      <c r="F141" s="15" t="s">
        <v>131</v>
      </c>
      <c r="G141" s="1" t="s">
        <v>578</v>
      </c>
      <c r="H141" s="1" t="s">
        <v>579</v>
      </c>
      <c r="I141" s="1" t="s">
        <v>580</v>
      </c>
      <c r="J141" s="1" t="s">
        <v>581</v>
      </c>
      <c r="K141" s="16" t="inlineStr">
        <is>
          <t xml:space="preserve">Aprobado</t>
        </is>
      </c>
      <c r="L141" s="17" t="inlineStr">
        <is>
          <t xml:space="preserve">Las 21 pantallas siguen el diseño de Figma: menú lateral oscuro con la opción activa, título 'Módulo / Acción' con subtítulo, tarjeta blanca, campos en dos columnas, botón principal azul y confirmación de eliminación en recuadro rojo claro. Las diferencias son de texto y de controles de formulario.</t>
        </is>
      </c>
      <c r="M141" s="17" t="inlineStr">
        <is>
          <t xml:space="preserve">figma/EV-MVC-GEN-03-comparacion-*.png, figma/EV-MVC-GEN-03-figma-*.png, EV-MVC-GEN-03.txt</t>
        </is>
      </c>
      <c r="N141" s="18">
        <v>46322</v>
      </c>
      <c r="O141" s="17" t="inlineStr">
        <is>
          <t xml:space="preserve">Automatizado</t>
        </is>
      </c>
      <c r="P141" s="17" t="inlineStr">
        <is>
          <t xml:space="preserve">Diferencias registradas en la evidencia: enlace Eliminar en los listados, títulos y preguntas de eliminación, títulos de tarjeta en singular y listas desplegables en lugar de campos de texto. El recuadro de error vacío ya está registrado como DEF-09. Revisión asistida: confirmar el criterio con el responsable de QA.</t>
        </is>
      </c>
    </row>
    <row r="142" spans="1:16" ht="27.95">
      <c r="A142" s="15" t="s">
        <v>582</v>
      </c>
      <c r="B142" s="15" t="s">
        <v>63</v>
      </c>
      <c r="C142" s="1" t="s">
        <v>22</v>
      </c>
      <c r="D142" s="15" t="s">
        <v>98</v>
      </c>
      <c r="E142" s="15" t="s">
        <v>130</v>
      </c>
      <c r="F142" s="15" t="s">
        <v>131</v>
      </c>
      <c r="G142" s="1" t="s">
        <v>583</v>
      </c>
      <c r="H142" s="1" t="s">
        <v>256</v>
      </c>
      <c r="I142" s="1" t="s">
        <v>584</v>
      </c>
      <c r="J142" s="1" t="s">
        <v>585</v>
      </c>
      <c r="K142" s="16" t="inlineStr">
        <is>
          <t xml:space="preserve">Aprobado</t>
        </is>
      </c>
      <c r="L142" s="17" t="inlineStr">
        <is>
          <t xml:space="preserve">En 1366, 768 y 375 px ninguna página desborda horizontalmente; en tableta y móvil el menú lateral pasa a la parte superior, los formularios quedan en una columna y las tablas se desplazan dentro de su contenedor. El texto es legible (letra mínima 12 px).</t>
        </is>
      </c>
      <c r="M142" s="17" t="inlineStr">
        <is>
          <t xml:space="preserve">EV-MVC-GEN-04-*.png, EV-MVC-GEN-04-resumen-vacio.png, EV-MVC-GEN-04.txt</t>
        </is>
      </c>
      <c r="N142" s="18">
        <v>46322</v>
      </c>
      <c r="O142" s="17" t="inlineStr">
        <is>
          <t xml:space="preserve">Automatizado</t>
        </is>
      </c>
      <c r="P142" s="17" t="inlineStr">
        <is>
          <t xml:space="preserve">En móvil la columna Acciones de los listados queda fuera de la vista y requiere desplazar la tabla; no hay indicación visual de que se puede desplazar. Hallazgo visual en todos los anchos: /Personas/Create:, /Profesiones/Create: muestran un recuadro de error vacío antes de enviar el formulario. Revisión asistida: confirmar el criterio con el responsable de QA. Defecto DEF-09. Re-prueba ronda 1 (28/10/2026, Pull Request #7): Aprobado. Evidencia en reprueba/ronda-1/EV-R1-MVC-GEN-04.*.</t>
        </is>
      </c>
    </row>
    <row r="143" spans="1:16" ht="27.95">
      <c r="A143" s="15" t="s">
        <v>586</v>
      </c>
      <c r="B143" s="15" t="s">
        <v>63</v>
      </c>
      <c r="C143" s="1" t="s">
        <v>22</v>
      </c>
      <c r="D143" s="15" t="s">
        <v>98</v>
      </c>
      <c r="E143" s="15" t="s">
        <v>130</v>
      </c>
      <c r="F143" s="15" t="s">
        <v>212</v>
      </c>
      <c r="G143" s="1" t="s">
        <v>587</v>
      </c>
      <c r="H143" s="1" t="s">
        <v>256</v>
      </c>
      <c r="I143" s="1" t="s">
        <v>588</v>
      </c>
      <c r="J143" s="1" t="s">
        <v>589</v>
      </c>
      <c r="K143" s="16" t="inlineStr">
        <is>
          <t xml:space="preserve">Aprobado</t>
        </is>
      </c>
      <c r="L143" s="17" t="inlineStr">
        <is>
          <t xml:space="preserve">El flujo completo (inicio, validación, alta con selectores y fecha, edición, detalle, rechazo por dependientes y eliminación) se comporta igual en: Chromium (Chrome/Edge) 156.0.8078.4: 10/10 pasos; Firefox 157.0: 10/10 pasos; WebKit (Safari) 27.2: 10/10 pasos. Sin errores de consola.</t>
        </is>
      </c>
      <c r="M143" s="17" t="inlineStr">
        <is>
          <t xml:space="preserve">EV-MVC-GEN-05-*.png, EV-MVC-GEN-05.txt</t>
        </is>
      </c>
      <c r="N143" s="18">
        <v>46322</v>
      </c>
      <c r="O143" s="17" t="inlineStr">
        <is>
          <t xml:space="preserve">Automatizado</t>
        </is>
      </c>
      <c r="P143" s="17" t="inlineStr">
        <is>
          <t xml:space="preserve">Chrome y Edge no están instalados en el equipo de pruebas; se usaron los motores de Playwright: Chromium (el de Chrome y Edge), Firefox y WebKit (el de Safari), sin interfaz grafica.</t>
        </is>
      </c>
    </row>
    <row r="144" spans="1:16" ht="27.95">
      <c r="A144" s="15" t="s">
        <v>590</v>
      </c>
      <c r="B144" s="15" t="s">
        <v>70</v>
      </c>
      <c r="C144" s="1" t="s">
        <v>22</v>
      </c>
      <c r="D144" s="15" t="s">
        <v>98</v>
      </c>
      <c r="E144" s="15" t="s">
        <v>591</v>
      </c>
      <c r="F144" s="15" t="s">
        <v>131</v>
      </c>
      <c r="G144" s="1" t="s">
        <v>592</v>
      </c>
      <c r="H144" s="1" t="s">
        <v>256</v>
      </c>
      <c r="I144" s="1" t="s">
        <v>593</v>
      </c>
      <c r="J144" s="1" t="s">
        <v>594</v>
      </c>
      <c r="K144" s="16" t="inlineStr">
        <is>
          <t xml:space="preserve">Aprobado</t>
        </is>
      </c>
      <c r="L144" s="17" t="inlineStr">
        <is>
          <t xml:space="preserve">POST de creación y de eliminación sin token responden 400 y 400; no se modifican datos (6 -&gt; 6).</t>
        </is>
      </c>
      <c r="M144" s="17" t="inlineStr">
        <is>
          <t xml:space="preserve">EV-MVC-GEN-06.txt</t>
        </is>
      </c>
      <c r="N144" s="18">
        <v>46322</v>
      </c>
      <c r="O144" s="17" t="inlineStr">
        <is>
          <t xml:space="preserve">Automatizado</t>
        </is>
      </c>
      <c r="P144" s="17"/>
    </row>
    <row r="145" spans="1:16" ht="27.95">
      <c r="A145" s="15" t="s">
        <v>595</v>
      </c>
      <c r="B145" s="15" t="s">
        <v>63</v>
      </c>
      <c r="C145" s="1" t="s">
        <v>22</v>
      </c>
      <c r="D145" s="15" t="s">
        <v>98</v>
      </c>
      <c r="E145" s="15" t="s">
        <v>157</v>
      </c>
      <c r="F145" s="15" t="s">
        <v>131</v>
      </c>
      <c r="G145" s="1" t="s">
        <v>596</v>
      </c>
      <c r="H145" s="1" t="s">
        <v>256</v>
      </c>
      <c r="I145" s="1" t="s">
        <v>597</v>
      </c>
      <c r="J145" s="1" t="s">
        <v>598</v>
      </c>
      <c r="K145" s="16" t="inlineStr">
        <is>
          <t xml:space="preserve">Fallido</t>
        </is>
      </c>
      <c r="L145" s="17" t="inlineStr">
        <is>
          <t xml:space="preserve">Responde 404 sin contenido (página en blanco), sin detalles técnicos pero sin página propia ni enlace de regreso.</t>
        </is>
      </c>
      <c r="M145" s="17" t="inlineStr">
        <is>
          <t xml:space="preserve">EV-MVC-GEN-07.png, EV-MVC-GEN-07.txt</t>
        </is>
      </c>
      <c r="N145" s="18">
        <v>46322</v>
      </c>
      <c r="O145" s="17" t="inlineStr">
        <is>
          <t xml:space="preserve">Automatizado</t>
        </is>
      </c>
      <c r="P145" s="17" t="inlineStr">
        <is>
          <t xml:space="preserve">Propuesta: app.UseStatusCodePagesWithReExecute("/Home/Error") o una vista NotFound. Defecto DEF-06. Re-prueba ronda 1 (28/10/2026, Pull Request #7): Aprobado. Evidencia en reprueba/ronda-1/EV-R1-MVC-GEN-07.*.</t>
        </is>
      </c>
    </row>
    <row r="146" spans="1:16" ht="27.95">
      <c r="A146" s="15" t="s">
        <v>599</v>
      </c>
      <c r="B146" s="15" t="s">
        <v>63</v>
      </c>
      <c r="C146" s="1" t="s">
        <v>22</v>
      </c>
      <c r="D146" s="15" t="s">
        <v>98</v>
      </c>
      <c r="E146" s="15" t="s">
        <v>99</v>
      </c>
      <c r="F146" s="15" t="s">
        <v>212</v>
      </c>
      <c r="G146" s="1" t="s">
        <v>600</v>
      </c>
      <c r="H146" s="1" t="s">
        <v>601</v>
      </c>
      <c r="I146" s="1" t="s">
        <v>602</v>
      </c>
      <c r="J146" s="1" t="s">
        <v>603</v>
      </c>
      <c r="K146" s="16" t="inlineStr">
        <is>
          <t xml:space="preserve">Aprobado</t>
        </is>
      </c>
      <c r="L146" s="17" t="inlineStr">
        <is>
          <t xml:space="preserve">En los 4 formularios la validación del navegador muestra los mensajes antes de enviar y bloquea el POST; los campos rechazados coinciden con los del servidor.</t>
        </is>
      </c>
      <c r="M146" s="17" t="inlineStr">
        <is>
          <t xml:space="preserve">EV-MVC-GEN-08.png, EV-MVC-GEN-08.txt</t>
        </is>
      </c>
      <c r="N146" s="18">
        <v>46322</v>
      </c>
      <c r="O146" s="17" t="inlineStr">
        <is>
          <t xml:space="preserve">Automatizado</t>
        </is>
      </c>
      <c r="P146" s="17" t="inlineStr">
        <is>
          <t xml:space="preserve">Los textos difieren levemente: el navegador nombra el campo ('El campo «Nombre» es obligatorio.') y el servidor usa 'Este campo es obligatorio.'.</t>
        </is>
      </c>
    </row>
    <row r="147" spans="1:16" ht="27.95">
      <c r="A147" s="15" t="s">
        <v>604</v>
      </c>
      <c r="B147" s="15" t="s">
        <v>67</v>
      </c>
      <c r="C147" s="1" t="s">
        <v>23</v>
      </c>
      <c r="D147" s="15" t="s">
        <v>98</v>
      </c>
      <c r="E147" s="15" t="s">
        <v>23</v>
      </c>
      <c r="F147" s="15" t="s">
        <v>100</v>
      </c>
      <c r="G147" s="1" t="s">
        <v>605</v>
      </c>
      <c r="H147" s="1" t="s">
        <v>606</v>
      </c>
      <c r="I147" s="1" t="s">
        <v>607</v>
      </c>
      <c r="J147" s="1" t="s">
        <v>608</v>
      </c>
      <c r="K147" s="16" t="inlineStr">
        <is>
          <t xml:space="preserve">Aprobado</t>
        </is>
      </c>
      <c r="L147" s="17" t="inlineStr">
        <is>
          <t xml:space="preserve">Persona creada en la vista; GET /api/personas/2401 responde 200 con los mismos datos.</t>
        </is>
      </c>
      <c r="M147" s="17" t="inlineStr">
        <is>
          <t xml:space="preserve">EV-INT-01.txt</t>
        </is>
      </c>
      <c r="N147" s="18">
        <v>46322</v>
      </c>
      <c r="O147" s="17" t="inlineStr">
        <is>
          <t xml:space="preserve">Automatizado</t>
        </is>
      </c>
      <c r="P147" s="17"/>
    </row>
    <row r="148" spans="1:16" ht="27.95">
      <c r="A148" s="15" t="s">
        <v>609</v>
      </c>
      <c r="B148" s="15" t="s">
        <v>67</v>
      </c>
      <c r="C148" s="1" t="s">
        <v>23</v>
      </c>
      <c r="D148" s="15" t="s">
        <v>98</v>
      </c>
      <c r="E148" s="15" t="s">
        <v>23</v>
      </c>
      <c r="F148" s="15" t="s">
        <v>100</v>
      </c>
      <c r="G148" s="1" t="s">
        <v>610</v>
      </c>
      <c r="H148" s="1" t="s">
        <v>606</v>
      </c>
      <c r="I148" s="1" t="s">
        <v>611</v>
      </c>
      <c r="J148" s="1" t="s">
        <v>612</v>
      </c>
      <c r="K148" s="16" t="inlineStr">
        <is>
          <t xml:space="preserve">Aprobado</t>
        </is>
      </c>
      <c r="L148" s="17" t="inlineStr">
        <is>
          <t xml:space="preserve">POST 201; la persona 2402 aparece en el listado de la vista.</t>
        </is>
      </c>
      <c r="M148" s="17" t="inlineStr">
        <is>
          <t xml:space="preserve">EV-INT-02.png, EV-INT-02.txt</t>
        </is>
      </c>
      <c r="N148" s="18">
        <v>46322</v>
      </c>
      <c r="O148" s="17" t="inlineStr">
        <is>
          <t xml:space="preserve">Automatizado</t>
        </is>
      </c>
      <c r="P148" s="17"/>
    </row>
    <row r="149" spans="1:16" ht="27.95">
      <c r="A149" s="15" t="s">
        <v>613</v>
      </c>
      <c r="B149" s="15" t="s">
        <v>67</v>
      </c>
      <c r="C149" s="1" t="s">
        <v>23</v>
      </c>
      <c r="D149" s="15" t="s">
        <v>98</v>
      </c>
      <c r="E149" s="15" t="s">
        <v>23</v>
      </c>
      <c r="F149" s="15" t="s">
        <v>100</v>
      </c>
      <c r="G149" s="1" t="s">
        <v>614</v>
      </c>
      <c r="H149" s="1" t="s">
        <v>266</v>
      </c>
      <c r="I149" s="1" t="s">
        <v>615</v>
      </c>
      <c r="J149" s="1" t="s">
        <v>616</v>
      </c>
      <c r="K149" s="16" t="inlineStr">
        <is>
          <t xml:space="preserve">Aprobado</t>
        </is>
      </c>
      <c r="L149" s="17" t="inlineStr">
        <is>
          <t xml:space="preserve">La edición en la vista se ve en la API ('EditadaVista'); el PUT (204) se ve en el detalle de la vista.</t>
        </is>
      </c>
      <c r="M149" s="17" t="inlineStr">
        <is>
          <t xml:space="preserve">EV-INT-03.txt</t>
        </is>
      </c>
      <c r="N149" s="18">
        <v>46322</v>
      </c>
      <c r="O149" s="17" t="inlineStr">
        <is>
          <t xml:space="preserve">Automatizado</t>
        </is>
      </c>
      <c r="P149" s="17"/>
    </row>
    <row r="150" spans="1:16" ht="27.95">
      <c r="A150" s="15" t="s">
        <v>617</v>
      </c>
      <c r="B150" s="15" t="s">
        <v>67</v>
      </c>
      <c r="C150" s="1" t="s">
        <v>23</v>
      </c>
      <c r="D150" s="15" t="s">
        <v>98</v>
      </c>
      <c r="E150" s="15" t="s">
        <v>23</v>
      </c>
      <c r="F150" s="15" t="s">
        <v>100</v>
      </c>
      <c r="G150" s="1" t="s">
        <v>618</v>
      </c>
      <c r="H150" s="1" t="s">
        <v>619</v>
      </c>
      <c r="I150" s="1" t="s">
        <v>620</v>
      </c>
      <c r="J150" s="1" t="s">
        <v>621</v>
      </c>
      <c r="K150" s="16" t="inlineStr">
        <is>
          <t xml:space="preserve">Aprobado</t>
        </is>
      </c>
      <c r="L150" s="17" t="inlineStr">
        <is>
          <t xml:space="preserve">Eliminada en la vista: la API responde 404. Eliminada con la API (204): desaparece del listado.</t>
        </is>
      </c>
      <c r="M150" s="17" t="inlineStr">
        <is>
          <t xml:space="preserve">EV-INT-04.txt</t>
        </is>
      </c>
      <c r="N150" s="18">
        <v>46322</v>
      </c>
      <c r="O150" s="17" t="inlineStr">
        <is>
          <t xml:space="preserve">Automatizado</t>
        </is>
      </c>
      <c r="P150" s="17"/>
    </row>
    <row r="151" spans="1:16" ht="27.95">
      <c r="A151" s="15" t="s">
        <v>622</v>
      </c>
      <c r="B151" s="15" t="s">
        <v>70</v>
      </c>
      <c r="C151" s="1" t="s">
        <v>23</v>
      </c>
      <c r="D151" s="15" t="s">
        <v>98</v>
      </c>
      <c r="E151" s="15" t="s">
        <v>23</v>
      </c>
      <c r="F151" s="15" t="s">
        <v>131</v>
      </c>
      <c r="G151" s="1" t="s">
        <v>623</v>
      </c>
      <c r="H151" s="1" t="s">
        <v>624</v>
      </c>
      <c r="I151" s="1" t="s">
        <v>625</v>
      </c>
      <c r="J151" s="1" t="s">
        <v>626</v>
      </c>
      <c r="K151" s="16" t="inlineStr">
        <is>
          <t xml:space="preserve">Aprobado</t>
        </is>
      </c>
      <c r="L151" s="17" t="inlineStr">
        <is>
          <t xml:space="preserve">Ambos canales rechazan los 3 casos: duplicado (vista con mensaje, API 409), referencia inexistente (vista con mensaje, API 400) y eliminación con dependientes (vista con mensaje, API 409).</t>
        </is>
      </c>
      <c r="M151" s="17" t="inlineStr">
        <is>
          <t xml:space="preserve">EV-INT-05.txt</t>
        </is>
      </c>
      <c r="N151" s="18">
        <v>46322</v>
      </c>
      <c r="O151" s="17" t="inlineStr">
        <is>
          <t xml:space="preserve">Automatizado</t>
        </is>
      </c>
      <c r="P151" s="17"/>
    </row>
    <row r="152" spans="1:16" ht="27.95">
      <c r="A152" s="15" t="s">
        <v>627</v>
      </c>
      <c r="B152" s="15" t="s">
        <v>67</v>
      </c>
      <c r="C152" s="1" t="s">
        <v>23</v>
      </c>
      <c r="D152" s="15" t="s">
        <v>98</v>
      </c>
      <c r="E152" s="15" t="s">
        <v>23</v>
      </c>
      <c r="F152" s="15" t="s">
        <v>100</v>
      </c>
      <c r="G152" s="1" t="s">
        <v>628</v>
      </c>
      <c r="H152" s="1" t="s">
        <v>629</v>
      </c>
      <c r="I152" s="1" t="s">
        <v>630</v>
      </c>
      <c r="J152" s="1" t="s">
        <v>631</v>
      </c>
      <c r="K152" s="16" t="inlineStr">
        <is>
          <t xml:space="preserve">Aprobado</t>
        </is>
      </c>
      <c r="L152" s="17" t="inlineStr">
        <is>
          <t xml:space="preserve">Persona, teléfono, profesión y estudio creados desde las vistas, consultados por la API (4 x 200) y eliminados en orden inverso sin errores; no quedan registros.</t>
        </is>
      </c>
      <c r="M152" s="17" t="inlineStr">
        <is>
          <t xml:space="preserve">EV-INT-06.png, EV-INT-06.txt</t>
        </is>
      </c>
      <c r="N152" s="18">
        <v>46322</v>
      </c>
      <c r="O152" s="17" t="inlineStr">
        <is>
          <t xml:space="preserve">Automatizado</t>
        </is>
      </c>
      <c r="P152" s="17"/>
    </row>
    <row r="153" spans="1:16" ht="27.95">
      <c r="A153" s="15" t="s">
        <v>632</v>
      </c>
      <c r="B153" s="15" t="s">
        <v>67</v>
      </c>
      <c r="C153" s="1" t="s">
        <v>23</v>
      </c>
      <c r="D153" s="15" t="s">
        <v>98</v>
      </c>
      <c r="E153" s="15" t="s">
        <v>99</v>
      </c>
      <c r="F153" s="15" t="s">
        <v>131</v>
      </c>
      <c r="G153" s="1" t="s">
        <v>633</v>
      </c>
      <c r="H153" s="1" t="s">
        <v>634</v>
      </c>
      <c r="I153" s="1" t="s">
        <v>635</v>
      </c>
      <c r="J153" s="1" t="s">
        <v>636</v>
      </c>
      <c r="K153" s="16" t="inlineStr">
        <is>
          <t xml:space="preserve">Aprobado</t>
        </is>
      </c>
      <c r="L153" s="17" t="inlineStr">
        <is>
          <t xml:space="preserve">Tras detener y reiniciar la aplicación, los registros creados desde la vista (2420) y la API (2421) siguen en el listado.</t>
        </is>
      </c>
      <c r="M153" s="17" t="inlineStr">
        <is>
          <t xml:space="preserve">EV-INT-07.txt</t>
        </is>
      </c>
      <c r="N153" s="18">
        <v>46322</v>
      </c>
      <c r="O153" s="17" t="inlineStr">
        <is>
          <t xml:space="preserve">Automatizado</t>
        </is>
      </c>
      <c r="P153" s="17"/>
    </row>
    <row r="154" spans="1:16" ht="27.95">
      <c r="A154" s="15" t="s">
        <v>637</v>
      </c>
      <c r="B154" s="15" t="s">
        <v>67</v>
      </c>
      <c r="C154" s="1" t="s">
        <v>23</v>
      </c>
      <c r="D154" s="15" t="s">
        <v>98</v>
      </c>
      <c r="E154" s="15" t="s">
        <v>157</v>
      </c>
      <c r="F154" s="15" t="s">
        <v>131</v>
      </c>
      <c r="G154" s="1" t="s">
        <v>638</v>
      </c>
      <c r="H154" s="1" t="s">
        <v>256</v>
      </c>
      <c r="I154" s="1" t="s">
        <v>639</v>
      </c>
      <c r="J154" s="1" t="s">
        <v>640</v>
      </c>
      <c r="K154" s="16" t="inlineStr">
        <is>
          <t xml:space="preserve">Aprobado</t>
        </is>
      </c>
      <c r="L154" s="17" t="inlineStr">
        <is>
          <t xml:space="preserve">Durante la caída la vista muestra un error controlado (503); al volver SQL Server la vista (200, 7 filas) y la API (200) funcionan sin reiniciar la aplicación.</t>
        </is>
      </c>
      <c r="M154" s="17" t="inlineStr">
        <is>
          <t xml:space="preserve">EV-BK-09-vista.png, EV-INT-08-recuperacion.png, EV-INT-08.txt</t>
        </is>
      </c>
      <c r="N154" s="18">
        <v>46322</v>
      </c>
      <c r="O154" s="17" t="inlineStr">
        <is>
          <t xml:space="preserve">Automatizado</t>
        </is>
      </c>
      <c r="P154" s="17" t="inlineStr">
        <is>
          <t xml:space="preserve">La API durante la caída responde 500 con la traza (ver BK-09). Re-prueba ronda 2 (28/10/2026, Pull Request #9, #10 y #11): Aprobado. Evidencia en reprueba/ronda-2/EV-R2-INT-08.*.</t>
        </is>
      </c>
    </row>
    <row r="155" spans="1:16" ht="27.95">
      <c r="A155" s="15" t="s">
        <v>641</v>
      </c>
      <c r="B155" s="15" t="s">
        <v>74</v>
      </c>
      <c r="C155" s="1" t="s">
        <v>24</v>
      </c>
      <c r="D155" s="15" t="s">
        <v>98</v>
      </c>
      <c r="E155" s="15" t="s">
        <v>217</v>
      </c>
      <c r="F155" s="15" t="s">
        <v>100</v>
      </c>
      <c r="G155" s="1" t="s">
        <v>642</v>
      </c>
      <c r="H155" s="1" t="s">
        <v>643</v>
      </c>
      <c r="I155" s="1" t="s">
        <v>644</v>
      </c>
      <c r="J155" s="1" t="s">
        <v>645</v>
      </c>
      <c r="K155" s="16" t="inlineStr">
        <is>
          <t xml:space="preserve">Aprobado</t>
        </is>
      </c>
      <c r="L155" s="17" t="inlineStr">
        <is>
          <t xml:space="preserve">La API de GitHub sin autenticación responde 200: personapi-dotnet, visibilidad public; ramas main, feature/backend y feature/frontend-mvc.</t>
        </is>
      </c>
      <c r="M155" s="17" t="inlineStr">
        <is>
          <t xml:space="preserve">EV-ENT-01.txt</t>
        </is>
      </c>
      <c r="N155" s="18">
        <v>46322</v>
      </c>
      <c r="O155" s="17" t="inlineStr">
        <is>
          <t xml:space="preserve">Automatizado</t>
        </is>
      </c>
      <c r="P155" s="17"/>
    </row>
    <row r="156" spans="1:16" ht="27.95">
      <c r="A156" s="15" t="s">
        <v>646</v>
      </c>
      <c r="B156" s="15" t="s">
        <v>74</v>
      </c>
      <c r="C156" s="1" t="s">
        <v>24</v>
      </c>
      <c r="D156" s="15" t="s">
        <v>98</v>
      </c>
      <c r="E156" s="15" t="s">
        <v>217</v>
      </c>
      <c r="F156" s="15" t="s">
        <v>100</v>
      </c>
      <c r="G156" s="1" t="s">
        <v>647</v>
      </c>
      <c r="H156" s="1" t="s">
        <v>643</v>
      </c>
      <c r="I156" s="1" t="s">
        <v>648</v>
      </c>
      <c r="J156" s="1" t="s">
        <v>649</v>
      </c>
      <c r="K156" s="16" t="inlineStr">
        <is>
          <t xml:space="preserve">Aprobado</t>
        </is>
      </c>
      <c r="L156" s="17" t="inlineStr">
        <is>
          <t xml:space="preserve">Colaboradores con acceso aceptado: santiagohb2830, DresssOrtiz, ElTomi016 (3 integrantes).</t>
        </is>
      </c>
      <c r="M156" s="17" t="inlineStr">
        <is>
          <t xml:space="preserve">EV-ENT-02.txt</t>
        </is>
      </c>
      <c r="N156" s="18">
        <v>46322</v>
      </c>
      <c r="O156" s="17" t="inlineStr">
        <is>
          <t xml:space="preserve">Automatizado</t>
        </is>
      </c>
      <c r="P156" s="17" t="inlineStr">
        <is>
          <t xml:space="preserve">La correspondencia de cuentas es DresssOrtiz (Andrés Ortiz, propietario), ElTomi016 (Tomás Ramírez) y santiagohb2830 (Santiago Hernández). Las invitaciones pendientes requieren permisos de administrador.</t>
        </is>
      </c>
    </row>
    <row r="157" spans="1:16" ht="42">
      <c r="A157" s="15" t="s">
        <v>650</v>
      </c>
      <c r="B157" s="15" t="s">
        <v>74</v>
      </c>
      <c r="C157" s="1" t="s">
        <v>24</v>
      </c>
      <c r="D157" s="15" t="s">
        <v>98</v>
      </c>
      <c r="E157" s="15" t="s">
        <v>217</v>
      </c>
      <c r="F157" s="15" t="s">
        <v>100</v>
      </c>
      <c r="G157" s="1" t="s">
        <v>651</v>
      </c>
      <c r="H157" s="1" t="s">
        <v>652</v>
      </c>
      <c r="I157" s="1" t="s">
        <v>653</v>
      </c>
      <c r="J157" s="1" t="s">
        <v>654</v>
      </c>
      <c r="K157" s="16" t="inlineStr">
        <is>
          <t xml:space="preserve">Aprobado</t>
        </is>
      </c>
      <c r="L157" s="17" t="inlineStr">
        <is>
          <t xml:space="preserve">El README incluye descripción, stack, requisitos, creación de la base (Docker y SSMS), cadena de conexión, compilación, ejecución, rutas de la aplicación y de Swagger, tabla de endpoints y despliegue.</t>
        </is>
      </c>
      <c r="M157" s="17" t="inlineStr">
        <is>
          <t xml:space="preserve">EV-ENT-03.txt</t>
        </is>
      </c>
      <c r="N157" s="18">
        <v>46322</v>
      </c>
      <c r="O157" s="17" t="inlineStr">
        <is>
          <t xml:space="preserve">Automatizado</t>
        </is>
      </c>
      <c r="P157" s="17" t="inlineStr">
        <is>
          <t xml:space="preserve">No advierte que el DDL elimina las tablas (BD-08), no menciona el ajuste en LocalDB (BD-07) y no describe las vistas MVC porque el frontend aún no está en main.</t>
        </is>
      </c>
    </row>
    <row r="158" spans="1:16" ht="27.95">
      <c r="A158" s="15" t="s">
        <v>655</v>
      </c>
      <c r="B158" s="15" t="s">
        <v>74</v>
      </c>
      <c r="C158" s="1" t="s">
        <v>24</v>
      </c>
      <c r="D158" s="15" t="s">
        <v>98</v>
      </c>
      <c r="E158" s="15" t="s">
        <v>99</v>
      </c>
      <c r="F158" s="15" t="s">
        <v>100</v>
      </c>
      <c r="G158" s="1" t="s">
        <v>656</v>
      </c>
      <c r="H158" s="1" t="s">
        <v>657</v>
      </c>
      <c r="I158" s="1" t="s">
        <v>658</v>
      </c>
      <c r="J158" s="1" t="s">
        <v>659</v>
      </c>
      <c r="K158" s="16" t="inlineStr">
        <is>
          <t xml:space="preserve">Aprobado</t>
        </is>
      </c>
      <c r="L158" s="17" t="inlineStr">
        <is>
          <t xml:space="preserve">Siguiendo solo el README (opción Docker) se crea la base, se compila y se ejecuta; la aplicación y Swagger funcionan (BD-01, BD-09, BK-02, BK-03 y SW-01 aprobados).</t>
        </is>
      </c>
      <c r="M158" s="17" t="inlineStr">
        <is>
          <t xml:space="preserve">EV-ENT-04.txt</t>
        </is>
      </c>
      <c r="N158" s="18">
        <v>46322</v>
      </c>
      <c r="O158" s="17" t="inlineStr">
        <is>
          <t xml:space="preserve">Automatizado</t>
        </is>
      </c>
      <c r="P158" s="17" t="inlineStr">
        <is>
          <t xml:space="preserve">La sección Despliegue del README falla con el comando literal (ENT-08). Requiere instalar el SDK de .NET 6, fuera de soporte. No se probo la opción B (SQL Server Express en Windows).</t>
        </is>
      </c>
    </row>
    <row r="159" spans="1:16" ht="42">
      <c r="A159" s="15" t="s">
        <v>660</v>
      </c>
      <c r="B159" s="15" t="s">
        <v>74</v>
      </c>
      <c r="C159" s="1" t="s">
        <v>24</v>
      </c>
      <c r="D159" s="15" t="s">
        <v>98</v>
      </c>
      <c r="E159" s="15" t="s">
        <v>217</v>
      </c>
      <c r="F159" s="15" t="s">
        <v>131</v>
      </c>
      <c r="G159" s="1" t="s">
        <v>661</v>
      </c>
      <c r="H159" s="1" t="s">
        <v>652</v>
      </c>
      <c r="I159" s="1" t="s">
        <v>662</v>
      </c>
      <c r="J159" s="1" t="s">
        <v>663</v>
      </c>
      <c r="K159" s="16" t="inlineStr">
        <is>
          <t xml:space="preserve">Aprobado</t>
        </is>
      </c>
      <c r="L159" s="17" t="inlineStr">
        <is>
          <t xml:space="preserve">No hay bin/, obj/ ni archivos temporales versionados en main ni en feature/frontend-mvc. La única credencial es la contraseña de ejemplo del contenedor Docker del README (usuario sa) en appsettings.json.</t>
        </is>
      </c>
      <c r="M159" s="17" t="inlineStr">
        <is>
          <t xml:space="preserve">EV-ENT-05.txt</t>
        </is>
      </c>
      <c r="N159" s="18">
        <v>46322</v>
      </c>
      <c r="O159" s="17" t="inlineStr">
        <is>
          <t xml:space="preserve">Automatizado</t>
        </is>
      </c>
      <c r="P159" s="17" t="inlineStr">
        <is>
          <t xml:space="preserve">La contraseña coincide con el ejemplo del README, pero el archivo no la identifica como valor de ejemplo. Mejora sugerida: dejar la cadena sin contraseña y usar ConnectionStrings__PersonaDb o user-secrets, y un usuario distinto de sa.</t>
        </is>
      </c>
    </row>
    <row r="160" spans="1:16" ht="27.95">
      <c r="A160" s="15" t="s">
        <v>664</v>
      </c>
      <c r="B160" s="15" t="s">
        <v>74</v>
      </c>
      <c r="C160" s="1" t="s">
        <v>24</v>
      </c>
      <c r="D160" s="15" t="s">
        <v>98</v>
      </c>
      <c r="E160" s="15" t="s">
        <v>217</v>
      </c>
      <c r="F160" s="15" t="s">
        <v>131</v>
      </c>
      <c r="G160" s="1" t="s">
        <v>665</v>
      </c>
      <c r="H160" s="1" t="s">
        <v>652</v>
      </c>
      <c r="I160" s="1" t="s">
        <v>666</v>
      </c>
      <c r="J160" s="1" t="s">
        <v>667</v>
      </c>
      <c r="K160" s="16" t="inlineStr">
        <is>
          <t xml:space="preserve">Aprobado</t>
        </is>
      </c>
      <c r="L160" s="17" t="inlineStr">
        <is>
          <t xml:space="preserve">db/01_ddl.sql y db/02_dml.sql del repositorio se ejecutaron sin cambios locales en Docker (BD-01, BD-09); la rama del PR no los modifica.</t>
        </is>
      </c>
      <c r="M160" s="17" t="inlineStr">
        <is>
          <t xml:space="preserve">EV-ENT-06.txt</t>
        </is>
      </c>
      <c r="N160" s="18">
        <v>46322</v>
      </c>
      <c r="O160" s="17" t="inlineStr">
        <is>
          <t xml:space="preserve">Automatizado</t>
        </is>
      </c>
      <c r="P160" s="17" t="inlineStr">
        <is>
          <t xml:space="preserve">El documento (sec. 3.2 y 3.8) indica que en el equipo de Andrés se uso una versión local del DDL sin ALTER AUTHORIZATION, no versionada.</t>
        </is>
      </c>
    </row>
    <row r="161" spans="1:16" ht="27.95">
      <c r="A161" s="15" t="s">
        <v>668</v>
      </c>
      <c r="B161" s="15" t="s">
        <v>74</v>
      </c>
      <c r="C161" s="1" t="s">
        <v>24</v>
      </c>
      <c r="D161" s="15" t="s">
        <v>98</v>
      </c>
      <c r="E161" s="15" t="s">
        <v>217</v>
      </c>
      <c r="F161" s="15" t="s">
        <v>100</v>
      </c>
      <c r="G161" s="1" t="s">
        <v>669</v>
      </c>
      <c r="H161" s="1" t="s">
        <v>670</v>
      </c>
      <c r="I161" s="1" t="s">
        <v>671</v>
      </c>
      <c r="J161" s="1" t="s">
        <v>672</v>
      </c>
      <c r="K161" s="16" t="inlineStr">
        <is>
          <t xml:space="preserve">Aprobado</t>
        </is>
      </c>
      <c r="L161" s="17" t="inlineStr">
        <is>
          <t xml:space="preserve">PR #2 aprobado por QA y fusionado en main (merge commit 8fc7d80). main contiene eea9ee8, compila (0 Advertencia(s) 0 Errores) y la aplicación responde 200 en inicio, los 4 listados MVC, el formulario de creación, la API y Swagger.</t>
        </is>
      </c>
      <c r="M161" s="17" t="inlineStr">
        <is>
          <t xml:space="preserve">EV-ENT-07.png, EV-ENT-07.txt</t>
        </is>
      </c>
      <c r="N161" s="18">
        <v>46322</v>
      </c>
      <c r="O161" s="17" t="inlineStr">
        <is>
          <t xml:space="preserve">Automatizado</t>
        </is>
      </c>
      <c r="P161" s="17" t="inlineStr">
        <is>
          <t xml:space="preserve">Repetido después del merge sobre un clon limpio de main.</t>
        </is>
      </c>
    </row>
    <row r="162" spans="1:16" ht="27.95">
      <c r="A162" s="15" t="s">
        <v>673</v>
      </c>
      <c r="B162" s="15" t="s">
        <v>74</v>
      </c>
      <c r="C162" s="1" t="s">
        <v>24</v>
      </c>
      <c r="D162" s="15" t="s">
        <v>98</v>
      </c>
      <c r="E162" s="15" t="s">
        <v>99</v>
      </c>
      <c r="F162" s="15" t="s">
        <v>131</v>
      </c>
      <c r="G162" s="1" t="s">
        <v>674</v>
      </c>
      <c r="H162" s="1" t="s">
        <v>224</v>
      </c>
      <c r="I162" s="1" t="s">
        <v>675</v>
      </c>
      <c r="J162" s="1" t="s">
        <v>676</v>
      </c>
      <c r="K162" s="16" t="inlineStr">
        <is>
          <t xml:space="preserve">Fallido</t>
        </is>
      </c>
      <c r="L162" s="17" t="inlineStr">
        <is>
          <t xml:space="preserve">dotnet publish termina bien. Con el comando literal del README desde la raiz, GET /api/personas responde 500; ejecutando desde la carpeta publish responde 200. Swagger responde 200 en Production.</t>
        </is>
      </c>
      <c r="M162" s="17" t="inlineStr">
        <is>
          <t xml:space="preserve">EV-ENT-08.txt</t>
        </is>
      </c>
      <c r="N162" s="18">
        <v>46322</v>
      </c>
      <c r="O162" s="17" t="inlineStr">
        <is>
          <t xml:space="preserve">Automatizado</t>
        </is>
      </c>
      <c r="P162" s="17" t="inlineStr">
        <is>
          <t xml:space="preserve">Swagger queda expuesto fuera de Development porque UseSwagger/UseSwaggerUI no están condicionados al entorno en Program.cs. Defecto DEF-02. Re-prueba ronda 2 (28/10/2026, Pull Request #9, #10 y #11): Aprobado. Evidencia en reprueba/ronda-2/EV-R2-ENT-08.*.</t>
        </is>
      </c>
    </row>
    <row r="163" spans="1:16" ht="27.95">
      <c r="A163" s="15" t="s">
        <v>677</v>
      </c>
      <c r="B163" s="15" t="s">
        <v>74</v>
      </c>
      <c r="C163" s="1" t="s">
        <v>24</v>
      </c>
      <c r="D163" s="15" t="s">
        <v>98</v>
      </c>
      <c r="E163" s="15" t="s">
        <v>217</v>
      </c>
      <c r="F163" s="15" t="s">
        <v>100</v>
      </c>
      <c r="G163" s="1" t="s">
        <v>678</v>
      </c>
      <c r="H163" s="1" t="s">
        <v>679</v>
      </c>
      <c r="I163" s="1" t="s">
        <v>680</v>
      </c>
      <c r="J163" s="1" t="s">
        <v>681</v>
      </c>
      <c r="K163" s="16" t="inlineStr">
        <is>
          <t xml:space="preserve">Bloqueado</t>
        </is>
      </c>
      <c r="L163" s="17" t="inlineStr">
        <is>
          <t xml:space="preserve">El repositorio no tiene etiquetas (git ls-remote --tags vacío).</t>
        </is>
      </c>
      <c r="M163" s="17" t="inlineStr">
        <is>
          <t xml:space="preserve">EV-ENT-09.txt</t>
        </is>
      </c>
      <c r="N163" s="18">
        <v>46322</v>
      </c>
      <c r="O163" s="17" t="inlineStr">
        <is>
          <t xml:space="preserve">Automatizado</t>
        </is>
      </c>
      <c r="P163" s="17" t="inlineStr">
        <is>
          <t xml:space="preserve">La precondición (trabajo integrado y aprobado) no se cumple todavía. Crear el TAG indicado en el enunciado después del merge del PR #2.</t>
        </is>
      </c>
    </row>
    <row r="164" spans="1:16" ht="27.95">
      <c r="A164" s="15" t="s">
        <v>682</v>
      </c>
      <c r="B164" s="15" t="s">
        <v>77</v>
      </c>
      <c r="C164" s="1" t="s">
        <v>24</v>
      </c>
      <c r="D164" s="15" t="s">
        <v>98</v>
      </c>
      <c r="E164" s="15" t="s">
        <v>217</v>
      </c>
      <c r="F164" s="15" t="s">
        <v>100</v>
      </c>
      <c r="G164" s="1" t="s">
        <v>683</v>
      </c>
      <c r="H164" s="1" t="s">
        <v>684</v>
      </c>
      <c r="I164" s="1" t="s">
        <v>685</v>
      </c>
      <c r="J164" s="1" t="s">
        <v>686</v>
      </c>
      <c r="K164" s="16" t="inlineStr">
        <is>
          <t xml:space="preserve">Aprobado</t>
        </is>
      </c>
      <c r="L164" s="17" t="inlineStr">
        <is>
          <t xml:space="preserve">La copia _QA incluye marco conceptual, diseño, procedimiento, pruebas con evidencias (3.9), conclusiones y referencias.</t>
        </is>
      </c>
      <c r="M164" s="17" t="inlineStr">
        <is>
          <t xml:space="preserve">EV-ENT-10.txt</t>
        </is>
      </c>
      <c r="N164" s="18">
        <v>46322</v>
      </c>
      <c r="O164" s="17" t="inlineStr">
        <is>
          <t xml:space="preserve">Automatizado</t>
        </is>
      </c>
      <c r="P164" s="17" t="inlineStr">
        <is>
          <t xml:space="preserve">Las referencias están marcadas como preliminares. Sin el enunciado oficial, la lista de secciones exigidas se tomó de R11.</t>
        </is>
      </c>
    </row>
    <row r="165" spans="1:16" ht="27.95">
      <c r="A165" s="15" t="s">
        <v>687</v>
      </c>
      <c r="B165" s="15" t="s">
        <v>77</v>
      </c>
      <c r="C165" s="1" t="s">
        <v>24</v>
      </c>
      <c r="D165" s="15" t="s">
        <v>98</v>
      </c>
      <c r="E165" s="15" t="s">
        <v>217</v>
      </c>
      <c r="F165" s="15" t="s">
        <v>131</v>
      </c>
      <c r="G165" s="1" t="s">
        <v>688</v>
      </c>
      <c r="H165" s="1" t="s">
        <v>684</v>
      </c>
      <c r="I165" s="1" t="s">
        <v>689</v>
      </c>
      <c r="J165" s="1" t="s">
        <v>690</v>
      </c>
      <c r="K165" s="16" t="inlineStr">
        <is>
          <t xml:space="preserve">Fallido</t>
        </is>
      </c>
      <c r="L165" s="17" t="inlineStr">
        <is>
          <t xml:space="preserve">Quedan 8 marcadores de captura sin completar fuera de la sección 3.9 y 6 pies de figura con 'Figura X'.</t>
        </is>
      </c>
      <c r="M165" s="17" t="inlineStr">
        <is>
          <t xml:space="preserve">EV-ENT-11.txt</t>
        </is>
      </c>
      <c r="N165" s="18">
        <v>46322</v>
      </c>
      <c r="O165" s="17" t="inlineStr">
        <is>
          <t xml:space="preserve">Automatizado</t>
        </is>
      </c>
      <c r="P165" s="17" t="inlineStr">
        <is>
          <t xml:space="preserve">La sección 3.9 incluye sus capturas, que corresponden a pruebas ejecutadas. Defecto DEF-08.</t>
        </is>
      </c>
    </row>
    <row r="166" spans="1:16" ht="27.95">
      <c r="A166" s="15" t="s">
        <v>691</v>
      </c>
      <c r="B166" s="15" t="s">
        <v>77</v>
      </c>
      <c r="C166" s="1" t="s">
        <v>24</v>
      </c>
      <c r="D166" s="15" t="s">
        <v>98</v>
      </c>
      <c r="E166" s="15" t="s">
        <v>217</v>
      </c>
      <c r="F166" s="15" t="s">
        <v>131</v>
      </c>
      <c r="G166" s="1" t="s">
        <v>692</v>
      </c>
      <c r="H166" s="1" t="s">
        <v>684</v>
      </c>
      <c r="I166" s="1" t="s">
        <v>693</v>
      </c>
      <c r="J166" s="1" t="s">
        <v>694</v>
      </c>
      <c r="K166" s="16" t="inlineStr">
        <is>
          <t xml:space="preserve">Fallido</t>
        </is>
      </c>
      <c r="L166" s="17" t="inlineStr">
        <is>
          <t xml:space="preserve">La redacción está en tercera persona, sin voseo y sin errores de mayúsculas, pero 38 párrafos de cuerpo usan el estilo Título 2 (aparecen como títulos en el esquema); las referencias están marcadas como preliminares.</t>
        </is>
      </c>
      <c r="M166" s="17" t="inlineStr">
        <is>
          <t xml:space="preserve">EV-ENT-12.txt</t>
        </is>
      </c>
      <c r="N166" s="18">
        <v>46322</v>
      </c>
      <c r="O166" s="17" t="inlineStr">
        <is>
          <t xml:space="preserve">Automatizado</t>
        </is>
      </c>
      <c r="P166" s="17" t="inlineStr">
        <is>
          <t xml:space="preserve">Revisado sobre la versión en línea del documento (Google Docs). Las referencias no incluyen las fuentes de ASP.NET Core MVC, EF Core, SQL Server ni Swagger; la de Microsoft Learn corresponde a Entity Data Model (EF 6). Revisión asistida: confirmar el criterio con el responsable de QA. Defecto DEF-11.</t>
        </is>
      </c>
    </row>
    <row r="167" spans="1:16">
      <c r="A167" s="15"/>
      <c r="B167" s="15"/>
      <c r="C167" s="1"/>
      <c r="D167" s="15"/>
      <c r="E167" s="15"/>
      <c r="F167" s="15"/>
      <c r="G167" s="1"/>
      <c r="H167" s="1"/>
      <c r="I167" s="1"/>
      <c r="J167" s="1"/>
      <c r="K167" s="16"/>
      <c r="L167" s="17"/>
      <c r="M167" s="17"/>
      <c r="N167" s="18"/>
      <c r="O167" s="17"/>
      <c r="P167" s="17"/>
    </row>
    <row r="168" spans="1:16">
      <c r="A168" s="15"/>
      <c r="B168" s="15"/>
      <c r="C168" s="1"/>
      <c r="D168" s="15"/>
      <c r="E168" s="15"/>
      <c r="F168" s="15"/>
      <c r="G168" s="1"/>
      <c r="H168" s="1"/>
      <c r="I168" s="1"/>
      <c r="J168" s="1"/>
      <c r="K168" s="16"/>
      <c r="L168" s="17"/>
      <c r="M168" s="17"/>
      <c r="N168" s="18"/>
      <c r="O168" s="17"/>
      <c r="P168" s="17"/>
    </row>
    <row r="169" spans="1:16">
      <c r="A169" s="15"/>
      <c r="B169" s="15"/>
      <c r="C169" s="1"/>
      <c r="D169" s="15"/>
      <c r="E169" s="15"/>
      <c r="F169" s="15"/>
      <c r="G169" s="1"/>
      <c r="H169" s="1"/>
      <c r="I169" s="1"/>
      <c r="J169" s="1"/>
      <c r="K169" s="16"/>
      <c r="L169" s="17"/>
      <c r="M169" s="17"/>
      <c r="N169" s="18"/>
      <c r="O169" s="17"/>
      <c r="P169" s="17"/>
    </row>
    <row r="170" spans="1:16">
      <c r="A170" s="15"/>
      <c r="B170" s="15"/>
      <c r="C170" s="1"/>
      <c r="D170" s="15"/>
      <c r="E170" s="15"/>
      <c r="F170" s="15"/>
      <c r="G170" s="1"/>
      <c r="H170" s="1"/>
      <c r="I170" s="1"/>
      <c r="J170" s="1"/>
      <c r="K170" s="16"/>
      <c r="L170" s="17"/>
      <c r="M170" s="17"/>
      <c r="N170" s="18"/>
      <c r="O170" s="17"/>
      <c r="P170" s="17"/>
    </row>
    <row r="171" spans="1:16">
      <c r="A171" s="15"/>
      <c r="B171" s="15"/>
      <c r="C171" s="1"/>
      <c r="D171" s="15"/>
      <c r="E171" s="15"/>
      <c r="F171" s="15"/>
      <c r="G171" s="1"/>
      <c r="H171" s="1"/>
      <c r="I171" s="1"/>
      <c r="J171" s="1"/>
      <c r="K171" s="16"/>
      <c r="L171" s="17"/>
      <c r="M171" s="17"/>
      <c r="N171" s="18"/>
      <c r="O171" s="17"/>
      <c r="P171" s="17"/>
    </row>
    <row r="172" spans="1:16">
      <c r="A172" s="15"/>
      <c r="B172" s="15"/>
      <c r="C172" s="1"/>
      <c r="D172" s="15"/>
      <c r="E172" s="15"/>
      <c r="F172" s="15"/>
      <c r="G172" s="1"/>
      <c r="H172" s="1"/>
      <c r="I172" s="1"/>
      <c r="J172" s="1"/>
      <c r="K172" s="16"/>
      <c r="L172" s="17"/>
      <c r="M172" s="17"/>
      <c r="N172" s="18"/>
      <c r="O172" s="17"/>
      <c r="P172" s="17"/>
    </row>
    <row r="173" spans="1:16">
      <c r="A173" s="15"/>
      <c r="B173" s="15"/>
      <c r="C173" s="1"/>
      <c r="D173" s="15"/>
      <c r="E173" s="15"/>
      <c r="F173" s="15"/>
      <c r="G173" s="1"/>
      <c r="H173" s="1"/>
      <c r="I173" s="1"/>
      <c r="J173" s="1"/>
      <c r="K173" s="16"/>
      <c r="L173" s="17"/>
      <c r="M173" s="17"/>
      <c r="N173" s="18"/>
      <c r="O173" s="17"/>
      <c r="P173" s="17"/>
    </row>
    <row r="174" spans="1:16">
      <c r="A174" s="15"/>
      <c r="B174" s="15"/>
      <c r="C174" s="1"/>
      <c r="D174" s="15"/>
      <c r="E174" s="15"/>
      <c r="F174" s="15"/>
      <c r="G174" s="1"/>
      <c r="H174" s="1"/>
      <c r="I174" s="1"/>
      <c r="J174" s="1"/>
      <c r="K174" s="16"/>
      <c r="L174" s="17"/>
      <c r="M174" s="17"/>
      <c r="N174" s="18"/>
      <c r="O174" s="17"/>
      <c r="P174" s="17"/>
    </row>
    <row r="175" spans="1:16">
      <c r="A175" s="15"/>
      <c r="B175" s="15"/>
      <c r="C175" s="1"/>
      <c r="D175" s="15"/>
      <c r="E175" s="15"/>
      <c r="F175" s="15"/>
      <c r="G175" s="1"/>
      <c r="H175" s="1"/>
      <c r="I175" s="1"/>
      <c r="J175" s="1"/>
      <c r="K175" s="16"/>
      <c r="L175" s="17"/>
      <c r="M175" s="17"/>
      <c r="N175" s="18"/>
      <c r="O175" s="17"/>
      <c r="P175" s="17"/>
    </row>
    <row r="176" spans="1:16">
      <c r="A176" s="15"/>
      <c r="B176" s="15"/>
      <c r="C176" s="1"/>
      <c r="D176" s="15"/>
      <c r="E176" s="15"/>
      <c r="F176" s="15"/>
      <c r="G176" s="1"/>
      <c r="H176" s="1"/>
      <c r="I176" s="1"/>
      <c r="J176" s="1"/>
      <c r="K176" s="16"/>
      <c r="L176" s="17"/>
      <c r="M176" s="17"/>
      <c r="N176" s="18"/>
      <c r="O176" s="17"/>
      <c r="P176" s="17"/>
    </row>
    <row r="177" spans="1:16">
      <c r="A177" s="15"/>
      <c r="B177" s="15"/>
      <c r="C177" s="1"/>
      <c r="D177" s="15"/>
      <c r="E177" s="15"/>
      <c r="F177" s="15"/>
      <c r="G177" s="1"/>
      <c r="H177" s="1"/>
      <c r="I177" s="1"/>
      <c r="J177" s="1"/>
      <c r="K177" s="16"/>
      <c r="L177" s="17"/>
      <c r="M177" s="17"/>
      <c r="N177" s="18"/>
      <c r="O177" s="17"/>
      <c r="P177" s="17"/>
    </row>
    <row r="178" spans="1:16">
      <c r="A178" s="15"/>
      <c r="B178" s="15"/>
      <c r="C178" s="1"/>
      <c r="D178" s="15"/>
      <c r="E178" s="15"/>
      <c r="F178" s="15"/>
      <c r="G178" s="1"/>
      <c r="H178" s="1"/>
      <c r="I178" s="1"/>
      <c r="J178" s="1"/>
      <c r="K178" s="16"/>
      <c r="L178" s="17"/>
      <c r="M178" s="17"/>
      <c r="N178" s="18"/>
      <c r="O178" s="17"/>
      <c r="P178" s="17"/>
    </row>
    <row r="179" spans="1:16">
      <c r="A179" s="15"/>
      <c r="B179" s="15"/>
      <c r="C179" s="1"/>
      <c r="D179" s="15"/>
      <c r="E179" s="15"/>
      <c r="F179" s="15"/>
      <c r="G179" s="1"/>
      <c r="H179" s="1"/>
      <c r="I179" s="1"/>
      <c r="J179" s="1"/>
      <c r="K179" s="16"/>
      <c r="L179" s="17"/>
      <c r="M179" s="17"/>
      <c r="N179" s="18"/>
      <c r="O179" s="17"/>
      <c r="P179" s="17"/>
    </row>
    <row r="180" spans="1:16">
      <c r="A180" s="15"/>
      <c r="B180" s="15"/>
      <c r="C180" s="1"/>
      <c r="D180" s="15"/>
      <c r="E180" s="15"/>
      <c r="F180" s="15"/>
      <c r="G180" s="1"/>
      <c r="H180" s="1"/>
      <c r="I180" s="1"/>
      <c r="J180" s="1"/>
      <c r="K180" s="16"/>
      <c r="L180" s="17"/>
      <c r="M180" s="17"/>
      <c r="N180" s="18"/>
      <c r="O180" s="17"/>
      <c r="P180" s="17"/>
    </row>
    <row r="181" spans="1:16">
      <c r="A181" s="15"/>
      <c r="B181" s="15"/>
      <c r="C181" s="1"/>
      <c r="D181" s="15"/>
      <c r="E181" s="15"/>
      <c r="F181" s="15"/>
      <c r="G181" s="1"/>
      <c r="H181" s="1"/>
      <c r="I181" s="1"/>
      <c r="J181" s="1"/>
      <c r="K181" s="16"/>
      <c r="L181" s="17"/>
      <c r="M181" s="17"/>
      <c r="N181" s="18"/>
      <c r="O181" s="17"/>
      <c r="P181" s="17"/>
    </row>
    <row r="182" spans="1:16">
      <c r="A182" s="15"/>
      <c r="B182" s="15"/>
      <c r="C182" s="1"/>
      <c r="D182" s="15"/>
      <c r="E182" s="15"/>
      <c r="F182" s="15"/>
      <c r="G182" s="1"/>
      <c r="H182" s="1"/>
      <c r="I182" s="1"/>
      <c r="J182" s="1"/>
      <c r="K182" s="16"/>
      <c r="L182" s="17"/>
      <c r="M182" s="17"/>
      <c r="N182" s="18"/>
      <c r="O182" s="17"/>
      <c r="P182" s="17"/>
    </row>
    <row r="183" spans="1:16">
      <c r="A183" s="15"/>
      <c r="B183" s="15"/>
      <c r="C183" s="1"/>
      <c r="D183" s="15"/>
      <c r="E183" s="15"/>
      <c r="F183" s="15"/>
      <c r="G183" s="1"/>
      <c r="H183" s="1"/>
      <c r="I183" s="1"/>
      <c r="J183" s="1"/>
      <c r="K183" s="16"/>
      <c r="L183" s="17"/>
      <c r="M183" s="17"/>
      <c r="N183" s="18"/>
      <c r="O183" s="17"/>
      <c r="P183" s="17"/>
    </row>
    <row r="184" spans="1:16">
      <c r="A184" s="15"/>
      <c r="B184" s="15"/>
      <c r="C184" s="1"/>
      <c r="D184" s="15"/>
      <c r="E184" s="15"/>
      <c r="F184" s="15"/>
      <c r="G184" s="1"/>
      <c r="H184" s="1"/>
      <c r="I184" s="1"/>
      <c r="J184" s="1"/>
      <c r="K184" s="16"/>
      <c r="L184" s="17"/>
      <c r="M184" s="17"/>
      <c r="N184" s="18"/>
      <c r="O184" s="17"/>
      <c r="P184" s="17"/>
    </row>
    <row r="185" spans="1:16">
      <c r="A185" s="15"/>
      <c r="B185" s="15"/>
      <c r="C185" s="1"/>
      <c r="D185" s="15"/>
      <c r="E185" s="15"/>
      <c r="F185" s="15"/>
      <c r="G185" s="1"/>
      <c r="H185" s="1"/>
      <c r="I185" s="1"/>
      <c r="J185" s="1"/>
      <c r="K185" s="16"/>
      <c r="L185" s="17"/>
      <c r="M185" s="17"/>
      <c r="N185" s="18"/>
      <c r="O185" s="17"/>
      <c r="P185" s="17"/>
    </row>
    <row r="186" spans="1:16">
      <c r="A186" s="15"/>
      <c r="B186" s="15"/>
      <c r="C186" s="1"/>
      <c r="D186" s="15"/>
      <c r="E186" s="15"/>
      <c r="F186" s="15"/>
      <c r="G186" s="1"/>
      <c r="H186" s="1"/>
      <c r="I186" s="1"/>
      <c r="J186" s="1"/>
      <c r="K186" s="16"/>
      <c r="L186" s="17"/>
      <c r="M186" s="17"/>
      <c r="N186" s="18"/>
      <c r="O186" s="17"/>
      <c r="P186" s="17"/>
    </row>
    <row r="187" spans="1:16">
      <c r="A187" s="15"/>
      <c r="B187" s="15"/>
      <c r="C187" s="1"/>
      <c r="D187" s="15"/>
      <c r="E187" s="15"/>
      <c r="F187" s="15"/>
      <c r="G187" s="1"/>
      <c r="H187" s="1"/>
      <c r="I187" s="1"/>
      <c r="J187" s="1"/>
      <c r="K187" s="16"/>
      <c r="L187" s="17"/>
      <c r="M187" s="17"/>
      <c r="N187" s="18"/>
      <c r="O187" s="17"/>
      <c r="P187" s="17"/>
    </row>
    <row r="188" spans="1:16">
      <c r="A188" s="15"/>
      <c r="B188" s="15"/>
      <c r="C188" s="1"/>
      <c r="D188" s="15"/>
      <c r="E188" s="15"/>
      <c r="F188" s="15"/>
      <c r="G188" s="1"/>
      <c r="H188" s="1"/>
      <c r="I188" s="1"/>
      <c r="J188" s="1"/>
      <c r="K188" s="16"/>
      <c r="L188" s="17"/>
      <c r="M188" s="17"/>
      <c r="N188" s="18"/>
      <c r="O188" s="17"/>
      <c r="P188" s="17"/>
    </row>
    <row r="189" spans="1:16">
      <c r="A189" s="15"/>
      <c r="B189" s="15"/>
      <c r="C189" s="1"/>
      <c r="D189" s="15"/>
      <c r="E189" s="15"/>
      <c r="F189" s="15"/>
      <c r="G189" s="1"/>
      <c r="H189" s="1"/>
      <c r="I189" s="1"/>
      <c r="J189" s="1"/>
      <c r="K189" s="16"/>
      <c r="L189" s="17"/>
      <c r="M189" s="17"/>
      <c r="N189" s="18"/>
      <c r="O189" s="17"/>
      <c r="P189" s="17"/>
    </row>
    <row r="190" spans="1:16">
      <c r="A190" s="15"/>
      <c r="B190" s="15"/>
      <c r="C190" s="1"/>
      <c r="D190" s="15"/>
      <c r="E190" s="15"/>
      <c r="F190" s="15"/>
      <c r="G190" s="1"/>
      <c r="H190" s="1"/>
      <c r="I190" s="1"/>
      <c r="J190" s="1"/>
      <c r="K190" s="16"/>
      <c r="L190" s="17"/>
      <c r="M190" s="17"/>
      <c r="N190" s="18"/>
      <c r="O190" s="17"/>
      <c r="P190" s="17"/>
    </row>
    <row r="191" spans="1:16">
      <c r="A191" s="15"/>
      <c r="B191" s="15"/>
      <c r="C191" s="1"/>
      <c r="D191" s="15"/>
      <c r="E191" s="15"/>
      <c r="F191" s="15"/>
      <c r="G191" s="1"/>
      <c r="H191" s="1"/>
      <c r="I191" s="1"/>
      <c r="J191" s="1"/>
      <c r="K191" s="16"/>
      <c r="L191" s="17"/>
      <c r="M191" s="17"/>
      <c r="N191" s="18"/>
      <c r="O191" s="17"/>
      <c r="P191" s="17"/>
    </row>
    <row r="192" spans="1:16">
      <c r="A192" s="15"/>
      <c r="B192" s="15"/>
      <c r="C192" s="1"/>
      <c r="D192" s="15"/>
      <c r="E192" s="15"/>
      <c r="F192" s="15"/>
      <c r="G192" s="1"/>
      <c r="H192" s="1"/>
      <c r="I192" s="1"/>
      <c r="J192" s="1"/>
      <c r="K192" s="16"/>
      <c r="L192" s="17"/>
      <c r="M192" s="17"/>
      <c r="N192" s="18"/>
      <c r="O192" s="17"/>
      <c r="P192" s="17"/>
    </row>
    <row r="193" spans="1:16">
      <c r="A193" s="15"/>
      <c r="B193" s="15"/>
      <c r="C193" s="1"/>
      <c r="D193" s="15"/>
      <c r="E193" s="15"/>
      <c r="F193" s="15"/>
      <c r="G193" s="1"/>
      <c r="H193" s="1"/>
      <c r="I193" s="1"/>
      <c r="J193" s="1"/>
      <c r="K193" s="16"/>
      <c r="L193" s="17"/>
      <c r="M193" s="17"/>
      <c r="N193" s="18"/>
      <c r="O193" s="17"/>
      <c r="P193" s="17"/>
    </row>
    <row r="194" spans="1:16">
      <c r="A194" s="15"/>
      <c r="B194" s="15"/>
      <c r="C194" s="1"/>
      <c r="D194" s="15"/>
      <c r="E194" s="15"/>
      <c r="F194" s="15"/>
      <c r="G194" s="1"/>
      <c r="H194" s="1"/>
      <c r="I194" s="1"/>
      <c r="J194" s="1"/>
      <c r="K194" s="16"/>
      <c r="L194" s="17"/>
      <c r="M194" s="17"/>
      <c r="N194" s="18"/>
      <c r="O194" s="17"/>
      <c r="P194" s="17"/>
    </row>
    <row r="195" spans="1:16">
      <c r="A195" s="15"/>
      <c r="B195" s="15"/>
      <c r="C195" s="1"/>
      <c r="D195" s="15"/>
      <c r="E195" s="15"/>
      <c r="F195" s="15"/>
      <c r="G195" s="1"/>
      <c r="H195" s="1"/>
      <c r="I195" s="1"/>
      <c r="J195" s="1"/>
      <c r="K195" s="16"/>
      <c r="L195" s="17"/>
      <c r="M195" s="17"/>
      <c r="N195" s="18"/>
      <c r="O195" s="17"/>
      <c r="P195" s="17"/>
    </row>
    <row r="196" spans="1:16">
      <c r="A196" s="15"/>
      <c r="B196" s="15"/>
      <c r="C196" s="1"/>
      <c r="D196" s="15"/>
      <c r="E196" s="15"/>
      <c r="F196" s="15"/>
      <c r="G196" s="1"/>
      <c r="H196" s="1"/>
      <c r="I196" s="1"/>
      <c r="J196" s="1"/>
      <c r="K196" s="16"/>
      <c r="L196" s="17"/>
      <c r="M196" s="17"/>
      <c r="N196" s="18"/>
      <c r="O196" s="17"/>
      <c r="P196" s="17"/>
    </row>
  </sheetData>
  <autoFilter ref="A1:P196" xr:uid="{00000000-0009-0000-0000-000002000000}"/>
  <conditionalFormatting sqref="K2:K500">
    <cfRule type="cellIs" dxfId="3" priority="2" operator="equal">
      <formula>"Aprobado"</formula>
    </cfRule>
    <cfRule type="cellIs" dxfId="2" priority="3" operator="equal">
      <formula>"Fallido"</formula>
    </cfRule>
    <cfRule type="cellIs" dxfId="1" priority="4" operator="equal">
      <formula>"Bloqueado"</formula>
    </cfRule>
    <cfRule type="cellIs" dxfId="0" priority="5" operator="equal">
      <formula>"No aplica"</formula>
    </cfRule>
  </conditionalFormatting>
  <dataValidations count="2">
    <dataValidation type="list" allowBlank="1" sqref="K2:K500" xr:uid="{00000000-0002-0000-0200-000000000000}">
      <formula1>"Pendiente,Aprobado,Fallido,Bloqueado,No aplica"</formula1>
      <formula2>0</formula2>
    </dataValidation>
    <dataValidation type="list" allowBlank="1" sqref="F2:F500" xr:uid="{00000000-0002-0000-0200-000001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2000000}">
          <x14:formula1>
            <xm:f>Resumen!$A$20:$A$26</xm:f>
          </x14:formula1>
          <x14:formula2>
            <xm:f>0</xm:f>
          </x14:formula2>
          <xm:sqref>C2:C500</xm:sqref>
        </x14:dataValidation>
        <x14:dataValidation type="list" allowBlank="1" xr:uid="{00000000-0002-0000-0200-000003000000}">
          <x14:formula1>
            <xm:f>Requisitos!$A$2:$A$13</xm:f>
          </x14:formula1>
          <x14:formula2>
            <xm:f>0</xm:f>
          </x14:formula2>
          <xm:sqref>B2:B500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12" customWidth="1"/>
    <col min="3" max="3" width="14" customWidth="1"/>
    <col min="4" max="4" width="7" customWidth="1"/>
    <col min="5" max="5" width="16" customWidth="1"/>
    <col min="6" max="8" width="40" customWidth="1"/>
    <col min="9" max="9" width="11" customWidth="1"/>
    <col min="10" max="10" width="14" customWidth="1"/>
    <col min="11" max="12" width="16" customWidth="1"/>
    <col min="13" max="13" width="28" customWidth="1"/>
  </cols>
  <sheetData>
    <row r="1" spans="1:13" ht="30" customHeight="1">
      <c r="A1" s="8" t="s">
        <v>38</v>
      </c>
      <c r="B1" s="8" t="s">
        <v>95</v>
      </c>
      <c r="C1" s="8" t="s">
        <v>695</v>
      </c>
      <c r="D1" s="8" t="s">
        <v>84</v>
      </c>
      <c r="E1" s="8" t="s">
        <v>15</v>
      </c>
      <c r="F1" s="8" t="s">
        <v>696</v>
      </c>
      <c r="G1" s="8" t="s">
        <v>697</v>
      </c>
      <c r="H1" s="8" t="s">
        <v>698</v>
      </c>
      <c r="I1" s="8" t="s">
        <v>699</v>
      </c>
      <c r="J1" s="8" t="s">
        <v>92</v>
      </c>
      <c r="K1" s="8" t="s">
        <v>700</v>
      </c>
      <c r="L1" s="8" t="s">
        <v>94</v>
      </c>
      <c r="M1" s="8" t="s">
        <v>96</v>
      </c>
    </row>
    <row r="2" spans="1:13" ht="42">
      <c r="A2" s="16" t="inlineStr">
        <is>
          <t xml:space="preserve">DEF-01</t>
        </is>
      </c>
      <c r="B2" s="18">
        <v>46323</v>
      </c>
      <c r="C2" s="16" t="inlineStr">
        <is>
          <t xml:space="preserve">API-GEN-05</t>
        </is>
      </c>
      <c r="D2" s="16" t="inlineStr">
        <is>
          <t xml:space="preserve">R09</t>
        </is>
      </c>
      <c r="E2" s="17" t="inlineStr">
        <is>
          <t xml:space="preserve">API REST</t>
        </is>
      </c>
      <c r="F2" s="17" t="inlineStr">
        <is>
          <t xml:space="preserve">Dos POST simultáneos con la misma clave devuelven 500 en el segundo en lugar de 409.</t>
        </is>
      </c>
      <c r="G2" s="17" t="inlineStr">
        <is>
          <t xml:space="preserve">1. Levantar main con dotnet run. 2. Enviar a la vez dos POST /api/personas con el mismo cc (p. ej. 2050). 3. Repetir 20 veces con claves distintas (QA/tests/api/api_tests.py).</t>
        </is>
      </c>
      <c r="H2" s="17" t="inlineStr">
        <is>
          <t xml:space="preserve">Esperado: 201 y 409, sin error 500. Obtenido: 201 y 500 en 20 de 20 pares; el 500 incluye la traza DbUpdateException/SqlException 2627 (PK_persona). No se crean duplicados.</t>
        </is>
      </c>
      <c r="I2" s="16" t="inlineStr">
        <is>
          <t xml:space="preserve">Media</t>
        </is>
      </c>
      <c r="J2" s="16" t="inlineStr">
        <is>
          <t xml:space="preserve">Verificado</t>
        </is>
      </c>
      <c r="K2" s="17" t="inlineStr">
        <is>
          <t xml:space="preserve">Tomás</t>
        </is>
      </c>
      <c r="L2" s="17" t="inlineStr">
        <is>
          <t xml:space="preserve">EV-API-GEN-05.txt</t>
        </is>
      </c>
      <c r="M2" s="17" t="inlineStr">
        <is>
          <t xml:space="preserve">Causa: el controlador consulta ExistsAsync y luego inserta (condición de carrera). Propuesta: capturar DbUpdateException con SqlException.Number 2627/2601 en Create y responder 409 (mismo patron que MvcControllerBase.SaveAsync). Aplica a los 4 controladores REST. Corregido por Tomás Ramírez (Pull Request #9, #10 y #11) y verificado por QA el 28/10/2026 en la re-prueba ronda 2.</t>
        </is>
      </c>
    </row>
    <row r="3" spans="1:13">
      <c r="A3" s="16" t="inlineStr">
        <is>
          <t xml:space="preserve">DEF-02</t>
        </is>
      </c>
      <c r="B3" s="18">
        <v>46323</v>
      </c>
      <c r="C3" s="16" t="inlineStr">
        <is>
          <t xml:space="preserve">ENT-08</t>
        </is>
      </c>
      <c r="D3" s="16" t="inlineStr">
        <is>
          <t xml:space="preserve">R10</t>
        </is>
      </c>
      <c r="E3" s="17" t="inlineStr">
        <is>
          <t xml:space="preserve">Repositorio y entrega</t>
        </is>
      </c>
      <c r="F3" s="17" t="inlineStr">
        <is>
          <t xml:space="preserve">El comando de despliegue del README inicia la aplicación sin cadena de conexión y todas las solicitudes a datos responden 500.</t>
        </is>
      </c>
      <c r="G3" s="17" t="inlineStr">
        <is>
          <t xml:space="preserve">1. dotnet publish personapi-dotnet/personapi-dotnet.csproj -c Release -o publish. 2. Desde la raiz: ASPNETCORE_URLS=http://localhost:5025 dotnet publish/personapi-dotnet.dll. 3. GET /api/personas.</t>
        </is>
      </c>
      <c r="H3" s="17" t="inlineStr">
        <is>
          <t xml:space="preserve">Esperado: la aplicación publicada responde igual que en desarrollo. Obtenido: 500; log: ArgumentNullException (Parameter 'connectionString'). El content root es la carpeta actual y no carga publish/appsettings.json. Desde la carpeta publish responde 200.</t>
        </is>
      </c>
      <c r="I3" s="16" t="inlineStr">
        <is>
          <t xml:space="preserve">Media</t>
        </is>
      </c>
      <c r="J3" s="16" t="inlineStr">
        <is>
          <t xml:space="preserve">Verificado</t>
        </is>
      </c>
      <c r="K3" s="17" t="inlineStr">
        <is>
          <t xml:space="preserve">Tomás</t>
        </is>
      </c>
      <c r="L3" s="17" t="inlineStr">
        <is>
          <t xml:space="preserve">EV-ENT-08.txt</t>
        </is>
      </c>
      <c r="M3" s="17" t="inlineStr">
        <is>
          <t xml:space="preserve">Propuesta: cambiar el README a 'cd publish &amp;&amp; ASPNETCORE_URLS=... dotnet personapi-dotnet.dll' o agregar --contentRoot publish; alternativamente indicar ConnectionStrings__PersonaDb. Corregido por Tomás Ramírez (Pull Request #9, #10 y #11) y verificado por QA el 28/10/2026 en la re-prueba ronda 2.</t>
        </is>
      </c>
    </row>
    <row r="4" spans="1:13">
      <c r="A4" s="16" t="inlineStr">
        <is>
          <t xml:space="preserve">DEF-03</t>
        </is>
      </c>
      <c r="B4" s="18">
        <v>46323</v>
      </c>
      <c r="C4" s="16" t="inlineStr">
        <is>
          <t xml:space="preserve">BK-09</t>
        </is>
      </c>
      <c r="D4" s="16" t="inlineStr">
        <is>
          <t xml:space="preserve">R03</t>
        </is>
      </c>
      <c r="E4" s="17" t="inlineStr">
        <is>
          <t xml:space="preserve">Backend y DAO</t>
        </is>
      </c>
      <c r="F4" s="17" t="inlineStr">
        <is>
          <t xml:space="preserve">Con SQL Server detenido, la API responde 500 con la traza completa de la excepción.</t>
        </is>
      </c>
      <c r="G4" s="17" t="inlineStr">
        <is>
          <t xml:space="preserve">1. Ejecutar la rama feature/frontend-mvc con dotnet run (entorno Development según el README). 2. docker stop persona-sql. 3. GET /api/personas.</t>
        </is>
      </c>
      <c r="H4" s="17" t="inlineStr">
        <is>
          <t xml:space="preserve">Esperado: error controlado sin detalles internos. Obtenido: la vista responde 503 con mensaje controlado, pero la API responde 500 text/plain con SqlException y la pila de llamadas. No se exponen credenciales.</t>
        </is>
      </c>
      <c r="I4" s="16" t="inlineStr">
        <is>
          <t xml:space="preserve">Baja</t>
        </is>
      </c>
      <c r="J4" s="16" t="inlineStr">
        <is>
          <t xml:space="preserve">Verificado</t>
        </is>
      </c>
      <c r="K4" s="17" t="inlineStr">
        <is>
          <t xml:space="preserve">Tomás</t>
        </is>
      </c>
      <c r="L4" s="17" t="inlineStr">
        <is>
          <t xml:space="preserve">EV-BK-09.txt, EV-BK-09-vista.png</t>
        </is>
      </c>
      <c r="M4" s="17" t="inlineStr">
        <is>
          <t xml:space="preserve">Se presenta en Development (página de excepciones del desarrollador). Propuesta: filtro o middleware para /api que devuelva ProblemDetails 503 ante SqlException en todos los entornos, como ya hace MvcControllerBase para las vistas. Corregido por Tomás Ramírez (Pull Request #9, #10 y #11) y verificado por QA el 28/10/2026 en la re-prueba ronda 2.</t>
        </is>
      </c>
    </row>
    <row r="5" spans="1:13">
      <c r="A5" s="16" t="inlineStr">
        <is>
          <t xml:space="preserve">DEF-04</t>
        </is>
      </c>
      <c r="B5" s="18">
        <v>46323</v>
      </c>
      <c r="C5" s="16" t="inlineStr">
        <is>
          <t xml:space="preserve">BD-08</t>
        </is>
      </c>
      <c r="D5" s="16" t="inlineStr">
        <is>
          <t xml:space="preserve">R01</t>
        </is>
      </c>
      <c r="E5" s="17" t="inlineStr">
        <is>
          <t xml:space="preserve">Base de datos</t>
        </is>
      </c>
      <c r="F5" s="17" t="inlineStr">
        <is>
          <t xml:space="preserve">Re-ejecutar el DDL borra las 4 tablas y sus datos sin advertencia en el README ni en el script.</t>
        </is>
      </c>
      <c r="G5" s="17" t="inlineStr">
        <is>
          <t xml:space="preserve">1. Ejecutar 01_ddl.sql y 02_dml.sql. 2. Ejecutar de nuevo 01_ddl.sql. 3. SELECT COUNT(*) de persona.</t>
        </is>
      </c>
      <c r="H5" s="17" t="inlineStr">
        <is>
          <t xml:space="preserve">Esperado: comportamiento documentado. Obtenido: DROP TABLE de las 4 tablas, persona pasa de 5 a 0 registros; el DML restaura los datos, pero el README no lo advierte.</t>
        </is>
      </c>
      <c r="I5" s="16" t="inlineStr">
        <is>
          <t xml:space="preserve">Baja</t>
        </is>
      </c>
      <c r="J5" s="16" t="inlineStr">
        <is>
          <t xml:space="preserve">Verificado</t>
        </is>
      </c>
      <c r="K5" s="17" t="inlineStr">
        <is>
          <t xml:space="preserve">Tomás</t>
        </is>
      </c>
      <c r="L5" s="17" t="inlineStr">
        <is>
          <t xml:space="preserve">EV-BD-08.txt</t>
        </is>
      </c>
      <c r="M5" s="17" t="inlineStr">
        <is>
          <t xml:space="preserve">Propuesta: advertir en el README y en el encabezado de 01_ddl.sql que el script recrea las tablas, o crear las tablas solo si no existen. Corregido por Tomás Ramírez (Pull Request #9, #10 y #11) y verificado por QA el 28/10/2026 en la re-prueba ronda 2.</t>
        </is>
      </c>
    </row>
    <row r="6" spans="1:13">
      <c r="A6" s="16" t="inlineStr">
        <is>
          <t xml:space="preserve">DEF-05</t>
        </is>
      </c>
      <c r="B6" s="18">
        <v>46323</v>
      </c>
      <c r="C6" s="16" t="inlineStr">
        <is>
          <t xml:space="preserve">BD-07</t>
        </is>
      </c>
      <c r="D6" s="16" t="inlineStr">
        <is>
          <t xml:space="preserve">R01</t>
        </is>
      </c>
      <c r="E6" s="17" t="inlineStr">
        <is>
          <t xml:space="preserve">Base de datos</t>
        </is>
      </c>
      <c r="F6" s="17" t="inlineStr">
        <is>
          <t xml:space="preserve">ALTER AUTHORIZATION ... TO sa hace fallar el DDL cuando el usuario no tiene permisos sobre sa; el README no documenta el ajuste usado en LocalDB.</t>
        </is>
      </c>
      <c r="G6" s="17" t="inlineStr">
        <is>
          <t xml:space="preserve">1. Crear un login con rol dbcreator (sin sysadmin). 2. Ejecutar 01_ddl.sql sin cambios con ese login (QA/tests/db/bd07_entornos.py).</t>
        </is>
      </c>
      <c r="H6" s="17" t="inlineStr">
        <is>
          <t xml:space="preserve">Esperado: el script corre sin cambios o el ajuste queda documentado. Obtenido: Msg 15151 'Cannot find the principal sa...' y el DDL se detiene. El documento (sec. 3.2) indica que en LocalDB se quito esa instrucción manualmente.</t>
        </is>
      </c>
      <c r="I6" s="16" t="inlineStr">
        <is>
          <t xml:space="preserve">Baja</t>
        </is>
      </c>
      <c r="J6" s="16" t="inlineStr">
        <is>
          <t xml:space="preserve">Corregido</t>
        </is>
      </c>
      <c r="K6" s="17" t="inlineStr">
        <is>
          <t xml:space="preserve">Tomás</t>
        </is>
      </c>
      <c r="L6" s="17" t="inlineStr">
        <is>
          <t xml:space="preserve">EV-BD-07.txt</t>
        </is>
      </c>
      <c r="M6" s="17" t="inlineStr">
        <is>
          <t xml:space="preserve">No se reprodujo en LocalDB (no disponible en macOS); el fallo se reprodujo con un login sin sysadmin. Propuesta: quitar ALTER AUTHORIZATION o envolverlo en IF IS_SRVROLEMEMBER('sysadmin') = 1, y documentar LocalDB en el README. Corregido por Tomás Ramírez (Pull Request #9, #10 y #11) y comprobado por QA el 28/10/2026 solo en parte en la re-prueba ronda 2. Falta ejecutar BD-07 en Windows con SQL Server Express o LocalDB.</t>
        </is>
      </c>
    </row>
    <row r="7" spans="1:13">
      <c r="A7" s="16" t="inlineStr">
        <is>
          <t xml:space="preserve">DEF-06</t>
        </is>
      </c>
      <c r="B7" s="18">
        <v>46323</v>
      </c>
      <c r="C7" s="16" t="inlineStr">
        <is>
          <t xml:space="preserve">MVC-PER-05, MVC-TEL-05, MVC-PRO-05, MVC-EST-05, MVC-GEN-07</t>
        </is>
      </c>
      <c r="D7" s="16" t="inlineStr">
        <is>
          <t xml:space="preserve">R07</t>
        </is>
      </c>
      <c r="E7" s="17" t="inlineStr">
        <is>
          <t xml:space="preserve">Frontend MVC</t>
        </is>
      </c>
      <c r="F7" s="17" t="inlineStr">
        <is>
          <t xml:space="preserve">Las claves y rutas inexistentes devuelven 404 sin contenido; el usuario ve una página en blanco o la página genérica del navegador.</t>
        </is>
      </c>
      <c r="G7" s="17" t="inlineStr">
        <is>
          <t xml:space="preserve">1. Ejecutar feature/frontend-mvc. 2. Abrir /Personas/Details?cc=999999 o /RutaQueNoExiste/Accion.</t>
        </is>
      </c>
      <c r="H7" s="17" t="inlineStr">
        <is>
          <t xml:space="preserve">Esperado: página de no encontrado controlada. Obtenido: HTTP 404 sin cuerpo, sin layout ni enlace para volver.</t>
        </is>
      </c>
      <c r="I7" s="16" t="inlineStr">
        <is>
          <t xml:space="preserve">Baja</t>
        </is>
      </c>
      <c r="J7" s="16" t="inlineStr">
        <is>
          <t xml:space="preserve">Verificado</t>
        </is>
      </c>
      <c r="K7" s="17" t="inlineStr">
        <is>
          <t xml:space="preserve">Andrés</t>
        </is>
      </c>
      <c r="L7" s="17" t="inlineStr">
        <is>
          <t xml:space="preserve">EV-MVC-PER-05-inexistente.png, EV-MVC-GEN-07.png</t>
        </is>
      </c>
      <c r="M7" s="17" t="inlineStr">
        <is>
          <t xml:space="preserve">Propuesta: app.UseStatusCodePagesWithReExecute("/Home/Error", "?code={0}") en Program.cs y una vista de no encontrado con el layout de la aplicación. Corregido por Andrés Ortiz (Pull Request #7) y verificado por QA el 28/10/2026 en la re-prueba ronda 1.</t>
        </is>
      </c>
    </row>
    <row r="8" spans="1:13">
      <c r="A8" s="16" t="inlineStr">
        <is>
          <t xml:space="preserve">DEF-07</t>
        </is>
      </c>
      <c r="B8" s="18">
        <v>46323</v>
      </c>
      <c r="C8" s="16" t="inlineStr">
        <is>
          <t xml:space="preserve">MVC-PER-01</t>
        </is>
      </c>
      <c r="D8" s="16" t="inlineStr">
        <is>
          <t xml:space="preserve">R07</t>
        </is>
      </c>
      <c r="E8" s="17" t="inlineStr">
        <is>
          <t xml:space="preserve">Frontend MVC</t>
        </is>
      </c>
      <c r="F8" s="17" t="inlineStr">
        <is>
          <t xml:space="preserve">El listado de personas no muestra la columna edad.</t>
        </is>
      </c>
      <c r="G8" s="17" t="inlineStr">
        <is>
          <t xml:space="preserve">1. Abrir /Personas desde el menú.</t>
        </is>
      </c>
      <c r="H8" s="17" t="inlineStr">
        <is>
          <t xml:space="preserve">Esperado: columnas cc, nombre, apellido, genero y edad. Obtenido: Cédula, Nombre, Apellido, Genero y Acciones; la edad solo aparece en Detalles.</t>
        </is>
      </c>
      <c r="I8" s="16" t="inlineStr">
        <is>
          <t xml:space="preserve">Baja</t>
        </is>
      </c>
      <c r="J8" s="16" t="inlineStr">
        <is>
          <t xml:space="preserve">Verificado</t>
        </is>
      </c>
      <c r="K8" s="17" t="inlineStr">
        <is>
          <t xml:space="preserve">Andrés</t>
        </is>
      </c>
      <c r="L8" s="17" t="inlineStr">
        <is>
          <t xml:space="preserve">EV-MVC-PER-01.png</t>
        </is>
      </c>
      <c r="M8" s="17" t="inlineStr">
        <is>
          <t xml:space="preserve">El diseño de Figma (Personas · Listado) tampoco incluye la edad, asi que la omisión sigue el diseño. Propuesta: agregar &lt;th&gt;Edad&lt;/th&gt; y &lt;td&gt;@item.Edad&lt;/td&gt; en Views/Personas/Index.cshtml, o ajustar el caso MVC-PER-01 si el equipo mantiene el diseño. Corregido por Andrés Ortiz (Pull Request #7) y verificado por QA el 28/10/2026 en la re-prueba ronda 1.</t>
        </is>
      </c>
    </row>
    <row r="9" spans="1:13">
      <c r="A9" s="16" t="inlineStr">
        <is>
          <t xml:space="preserve">DEF-08</t>
        </is>
      </c>
      <c r="B9" s="18">
        <v>46323</v>
      </c>
      <c r="C9" s="16" t="inlineStr">
        <is>
          <t xml:space="preserve">ENT-11</t>
        </is>
      </c>
      <c r="D9" s="16" t="inlineStr">
        <is>
          <t xml:space="preserve">R11</t>
        </is>
      </c>
      <c r="E9" s="17" t="inlineStr">
        <is>
          <t xml:space="preserve">Repositorio y entrega</t>
        </is>
      </c>
      <c r="F9" s="17" t="inlineStr">
        <is>
          <t xml:space="preserve">El documento conserva 8 marcadores de captura sin completar y las figuras no están numeradas.</t>
        </is>
      </c>
      <c r="G9" s="17" t="inlineStr">
        <is>
          <t xml:space="preserve">1. Abrir el documento del laboratorio. 2. Buscar el texto '*[' y 'Figura X'.</t>
        </is>
      </c>
      <c r="H9" s="17" t="inlineStr">
        <is>
          <t xml:space="preserve">Esperado: ningún marcador pendiente y figuras numeradas. Obtenido: marcadores en las secciones 2.4, 2.5, 3.2, 3.3, 3.5, 3.6 y 3.7 (dos); los pies de figura usan 'Figura X'.</t>
        </is>
      </c>
      <c r="I9" s="16" t="inlineStr">
        <is>
          <t xml:space="preserve">Baja</t>
        </is>
      </c>
      <c r="J9" s="16" t="inlineStr">
        <is>
          <t xml:space="preserve">Abierto</t>
        </is>
      </c>
      <c r="K9" s="17" t="inlineStr">
        <is>
          <t xml:space="preserve">Andrés</t>
        </is>
      </c>
      <c r="L9" s="17" t="inlineStr">
        <is>
          <t xml:space="preserve">EV-ENT-11.txt</t>
        </is>
      </c>
      <c r="M9" s="17" t="inlineStr">
        <is>
          <t xml:space="preserve">La sección 3.9 ya incluye sus capturas. Las capturas de QA en evidencias/ (p. ej. EV-SW-01.png, EV-BD-09.txt, pantallas/EV-MVC-GEN-03-*.png) pueden usarse para los demas marcadores. Numerar las figuras y tablas al cerrar el documento.</t>
        </is>
      </c>
    </row>
    <row r="10" spans="1:13">
      <c r="A10" s="16" t="inlineStr">
        <is>
          <t xml:space="preserve">DEF-09</t>
        </is>
      </c>
      <c r="B10" s="18">
        <v>46323</v>
      </c>
      <c r="C10" s="16" t="inlineStr">
        <is>
          <t xml:space="preserve">MVC-GEN-04</t>
        </is>
      </c>
      <c r="D10" s="16" t="inlineStr">
        <is>
          <t xml:space="preserve">R07</t>
        </is>
      </c>
      <c r="E10" s="17" t="inlineStr">
        <is>
          <t xml:space="preserve">Frontend MVC</t>
        </is>
      </c>
      <c r="F10" s="17" t="inlineStr">
        <is>
          <t xml:space="preserve">Los formularios de creación de personas y profesiones muestran un recuadro de error vacío antes de enviar.</t>
        </is>
      </c>
      <c r="G10" s="17" t="inlineStr">
        <is>
          <t xml:space="preserve">1. Abrir /Personas/Create o /Profesiones/Create sin enviar datos.</t>
        </is>
      </c>
      <c r="H10" s="17" t="inlineStr">
        <is>
          <t xml:space="preserve">Esperado: sin resumen de errores hasta enviar. Obtenido: div de validación con la clase validation-summary-errors y un recuadro rojo vacío de 24 px en los tres anchos.</t>
        </is>
      </c>
      <c r="I10" s="16" t="inlineStr">
        <is>
          <t xml:space="preserve">Baja</t>
        </is>
      </c>
      <c r="J10" s="16" t="inlineStr">
        <is>
          <t xml:space="preserve">Verificado</t>
        </is>
      </c>
      <c r="K10" s="17" t="inlineStr">
        <is>
          <t xml:space="preserve">Andrés</t>
        </is>
      </c>
      <c r="L10" s="17" t="inlineStr">
        <is>
          <t xml:space="preserve">EV-MVC-GEN-04-resumen-vacio.png, EV-MVC-GEN-04.txt</t>
        </is>
      </c>
      <c r="M10" s="17" t="inlineStr">
        <is>
          <t xml:space="preserve">Hallazgo visual durante MVC-GEN-04; no impide usar el formulario. Causa probable: el GET de Create llama a ModelState.SetModelValue para dejar la clave vacía y el estado queda sin validar. Propuesta: quitar esa llamada (por ejemplo, mostrar la clave vacía con un DTO de vista con clave nullable) o renderizar el resumen solo si hay errores. Corregido por Andrés Ortiz (Pull Request #7) y verificado por QA el 28/10/2026 en la re-prueba ronda 1.</t>
        </is>
      </c>
    </row>
    <row r="11" spans="1:13">
      <c r="A11" s="16" t="inlineStr">
        <is>
          <t xml:space="preserve">DEF-10</t>
        </is>
      </c>
      <c r="B11" s="18">
        <v>46323</v>
      </c>
      <c r="C11" s="16" t="inlineStr">
        <is>
          <t xml:space="preserve">SW-09</t>
        </is>
      </c>
      <c r="D11" s="16" t="inlineStr">
        <is>
          <t xml:space="preserve">R06</t>
        </is>
      </c>
      <c r="E11" s="17" t="inlineStr">
        <is>
          <t xml:space="preserve">Swagger</t>
        </is>
      </c>
      <c r="F11" s="17" t="inlineStr">
        <is>
          <t xml:space="preserve">Swagger no muestra resumenes de las operaciones ni descripciones de parametros y campos.</t>
        </is>
      </c>
      <c r="G11" s="17" t="inlineStr">
        <is>
          <t xml:space="preserve">1. Abrir /swagger. 2. Revisar operaciones y esquemas (o swagger.json).</t>
        </is>
      </c>
      <c r="H11" s="17" t="inlineStr">
        <is>
          <t xml:space="preserve">Esperado: un tercero entiende y prueba la API sin explicacion adicional. Obtenido: 0 de 20 operaciones con resumen y 0 de 15 propiedades con descripción; campos como duenio, oper, nom o univer no se explican.</t>
        </is>
      </c>
      <c r="I11" s="16" t="inlineStr">
        <is>
          <t xml:space="preserve">Baja</t>
        </is>
      </c>
      <c r="J11" s="16" t="inlineStr">
        <is>
          <t xml:space="preserve">Verificado</t>
        </is>
      </c>
      <c r="K11" s="17" t="inlineStr">
        <is>
          <t xml:space="preserve">Tomás</t>
        </is>
      </c>
      <c r="L11" s="17" t="inlineStr">
        <is>
          <t xml:space="preserve">EV-SW-09.txt, EV-SW-01.png</t>
        </is>
      </c>
      <c r="M11" s="17" t="inlineStr">
        <is>
          <t xml:space="preserve">Propuesta: &lt;GenerateDocumentationFile&gt;true&lt;/GenerateDocumentationFile&gt; en el .csproj, options.IncludeXmlComments(...) en AddSwaggerGen y comentarios /// en controladores y DTO (ya existen 4 en los DTO). Corregido por Tomás Ramírez (Pull Request #9, #10 y #11) y verificado por QA el 28/10/2026 en la re-prueba ronda 2.</t>
        </is>
      </c>
    </row>
    <row r="12" spans="1:13">
      <c r="A12" s="16" t="inlineStr">
        <is>
          <t xml:space="preserve">DEF-11</t>
        </is>
      </c>
      <c r="B12" s="18">
        <v>46323</v>
      </c>
      <c r="C12" s="16" t="inlineStr">
        <is>
          <t xml:space="preserve">ENT-12</t>
        </is>
      </c>
      <c r="D12" s="16" t="inlineStr">
        <is>
          <t xml:space="preserve">R11</t>
        </is>
      </c>
      <c r="E12" s="17" t="inlineStr">
        <is>
          <t xml:space="preserve">Repositorio y entrega</t>
        </is>
      </c>
      <c r="F12" s="17" t="inlineStr">
        <is>
          <t xml:space="preserve">El documento aplica el estilo Titulo 2 a parrafos de cuerpo y sus referencias están incompletas.</t>
        </is>
      </c>
      <c r="G12" s="17" t="inlineStr">
        <is>
          <t xml:space="preserve">1. Abrir el documento en Google Docs y revisar el esquema, los estilos de parrafo y las referencias.</t>
        </is>
      </c>
      <c r="H12" s="17" t="inlineStr">
        <is>
          <t xml:space="preserve">Esperado: formato uniforme y referencias completas. Obtenido: 38 parrafos de cuerpo con estilo Titulo 2 (aparecen en el esquema como titulos) y referencias marcadas como preliminares.</t>
        </is>
      </c>
      <c r="I12" s="16" t="inlineStr">
        <is>
          <t xml:space="preserve">Baja</t>
        </is>
      </c>
      <c r="J12" s="16" t="inlineStr">
        <is>
          <t xml:space="preserve">Abierto</t>
        </is>
      </c>
      <c r="K12" s="17" t="inlineStr">
        <is>
          <t xml:space="preserve">Andrés</t>
        </is>
      </c>
      <c r="L12" s="17" t="inlineStr">
        <is>
          <t xml:space="preserve">EV-ENT-12.txt</t>
        </is>
      </c>
      <c r="M12" s="17" t="inlineStr">
        <is>
          <t xml:space="preserve">La versión en linea ya corrigio las mayusculas de 1.2 y no menciona a Codex. Propuesta: aplicar Texto normal a los parrafos de cuerpo y un estilo de pie a las figuras, y completar las referencias en APA (ASP.NET Core MVC, EF Core, SQL Server, Swashbuckle).</t>
        </is>
      </c>
    </row>
    <row r="13" spans="1:13">
      <c r="A13" s="16"/>
      <c r="B13" s="18"/>
      <c r="C13" s="16"/>
      <c r="D13" s="16"/>
      <c r="E13" s="17"/>
      <c r="F13" s="17"/>
      <c r="G13" s="17"/>
      <c r="H13" s="17"/>
      <c r="I13" s="16"/>
      <c r="J13" s="16"/>
      <c r="K13" s="17"/>
      <c r="L13" s="17"/>
      <c r="M13" s="17"/>
    </row>
    <row r="14" spans="1:13">
      <c r="A14" s="16"/>
      <c r="B14" s="18"/>
      <c r="C14" s="16"/>
      <c r="D14" s="16"/>
      <c r="E14" s="17"/>
      <c r="F14" s="17"/>
      <c r="G14" s="17"/>
      <c r="H14" s="17"/>
      <c r="I14" s="16"/>
      <c r="J14" s="16"/>
      <c r="K14" s="17"/>
      <c r="L14" s="17"/>
      <c r="M14" s="17"/>
    </row>
    <row r="15" spans="1:13">
      <c r="A15" s="16"/>
      <c r="B15" s="18"/>
      <c r="C15" s="16"/>
      <c r="D15" s="16"/>
      <c r="E15" s="17"/>
      <c r="F15" s="17"/>
      <c r="G15" s="17"/>
      <c r="H15" s="17"/>
      <c r="I15" s="16"/>
      <c r="J15" s="16"/>
      <c r="K15" s="17"/>
      <c r="L15" s="17"/>
      <c r="M15" s="17"/>
    </row>
    <row r="16" spans="1:13">
      <c r="A16" s="16"/>
      <c r="B16" s="18"/>
      <c r="C16" s="16"/>
      <c r="D16" s="16"/>
      <c r="E16" s="17"/>
      <c r="F16" s="17"/>
      <c r="G16" s="17"/>
      <c r="H16" s="17"/>
      <c r="I16" s="16"/>
      <c r="J16" s="16"/>
      <c r="K16" s="17"/>
      <c r="L16" s="17"/>
      <c r="M16" s="17"/>
    </row>
    <row r="17" spans="1:13">
      <c r="A17" s="16"/>
      <c r="B17" s="18"/>
      <c r="C17" s="16"/>
      <c r="D17" s="16"/>
      <c r="E17" s="17"/>
      <c r="F17" s="17"/>
      <c r="G17" s="17"/>
      <c r="H17" s="17"/>
      <c r="I17" s="16"/>
      <c r="J17" s="16"/>
      <c r="K17" s="17"/>
      <c r="L17" s="17"/>
      <c r="M17" s="17"/>
    </row>
    <row r="18" spans="1:13">
      <c r="A18" s="16"/>
      <c r="B18" s="18"/>
      <c r="C18" s="16"/>
      <c r="D18" s="16"/>
      <c r="E18" s="17"/>
      <c r="F18" s="17"/>
      <c r="G18" s="17"/>
      <c r="H18" s="17"/>
      <c r="I18" s="16"/>
      <c r="J18" s="16"/>
      <c r="K18" s="17"/>
      <c r="L18" s="17"/>
      <c r="M18" s="17"/>
    </row>
    <row r="19" spans="1:13">
      <c r="A19" s="16"/>
      <c r="B19" s="18"/>
      <c r="C19" s="16"/>
      <c r="D19" s="16"/>
      <c r="E19" s="17"/>
      <c r="F19" s="17"/>
      <c r="G19" s="17"/>
      <c r="H19" s="17"/>
      <c r="I19" s="16"/>
      <c r="J19" s="16"/>
      <c r="K19" s="17"/>
      <c r="L19" s="17"/>
      <c r="M19" s="17"/>
    </row>
    <row r="20" spans="1:13">
      <c r="A20" s="16"/>
      <c r="B20" s="18"/>
      <c r="C20" s="16"/>
      <c r="D20" s="16"/>
      <c r="E20" s="17"/>
      <c r="F20" s="17"/>
      <c r="G20" s="17"/>
      <c r="H20" s="17"/>
      <c r="I20" s="16"/>
      <c r="J20" s="16"/>
      <c r="K20" s="17"/>
      <c r="L20" s="17"/>
      <c r="M20" s="17"/>
    </row>
    <row r="21" spans="1:13">
      <c r="A21" s="16"/>
      <c r="B21" s="18"/>
      <c r="C21" s="16"/>
      <c r="D21" s="16"/>
      <c r="E21" s="17"/>
      <c r="F21" s="17"/>
      <c r="G21" s="17"/>
      <c r="H21" s="17"/>
      <c r="I21" s="16"/>
      <c r="J21" s="16"/>
      <c r="K21" s="17"/>
      <c r="L21" s="17"/>
      <c r="M21" s="17"/>
    </row>
    <row r="22" spans="1:13">
      <c r="A22" s="16"/>
      <c r="B22" s="18"/>
      <c r="C22" s="16"/>
      <c r="D22" s="16"/>
      <c r="E22" s="17"/>
      <c r="F22" s="17"/>
      <c r="G22" s="17"/>
      <c r="H22" s="17"/>
      <c r="I22" s="16"/>
      <c r="J22" s="16"/>
      <c r="K22" s="17"/>
      <c r="L22" s="17"/>
      <c r="M22" s="17"/>
    </row>
    <row r="23" spans="1:13">
      <c r="A23" s="16"/>
      <c r="B23" s="18"/>
      <c r="C23" s="16"/>
      <c r="D23" s="16"/>
      <c r="E23" s="17"/>
      <c r="F23" s="17"/>
      <c r="G23" s="17"/>
      <c r="H23" s="17"/>
      <c r="I23" s="16"/>
      <c r="J23" s="16"/>
      <c r="K23" s="17"/>
      <c r="L23" s="17"/>
      <c r="M23" s="17"/>
    </row>
    <row r="24" spans="1:13">
      <c r="A24" s="16"/>
      <c r="B24" s="18"/>
      <c r="C24" s="16"/>
      <c r="D24" s="16"/>
      <c r="E24" s="17"/>
      <c r="F24" s="17"/>
      <c r="G24" s="17"/>
      <c r="H24" s="17"/>
      <c r="I24" s="16"/>
      <c r="J24" s="16"/>
      <c r="K24" s="17"/>
      <c r="L24" s="17"/>
      <c r="M24" s="17"/>
    </row>
    <row r="25" spans="1:13">
      <c r="A25" s="16"/>
      <c r="B25" s="18"/>
      <c r="C25" s="16"/>
      <c r="D25" s="16"/>
      <c r="E25" s="17"/>
      <c r="F25" s="17"/>
      <c r="G25" s="17"/>
      <c r="H25" s="17"/>
      <c r="I25" s="16"/>
      <c r="J25" s="16"/>
      <c r="K25" s="17"/>
      <c r="L25" s="17"/>
      <c r="M25" s="17"/>
    </row>
    <row r="26" spans="1:13">
      <c r="A26" s="16"/>
      <c r="B26" s="18"/>
      <c r="C26" s="16"/>
      <c r="D26" s="16"/>
      <c r="E26" s="17"/>
      <c r="F26" s="17"/>
      <c r="G26" s="17"/>
      <c r="H26" s="17"/>
      <c r="I26" s="16"/>
      <c r="J26" s="16"/>
      <c r="K26" s="17"/>
      <c r="L26" s="17"/>
      <c r="M26" s="17"/>
    </row>
    <row r="27" spans="1:13">
      <c r="A27" s="16"/>
      <c r="B27" s="18"/>
      <c r="C27" s="16"/>
      <c r="D27" s="16"/>
      <c r="E27" s="17"/>
      <c r="F27" s="17"/>
      <c r="G27" s="17"/>
      <c r="H27" s="17"/>
      <c r="I27" s="16"/>
      <c r="J27" s="16"/>
      <c r="K27" s="17"/>
      <c r="L27" s="17"/>
      <c r="M27" s="17"/>
    </row>
    <row r="28" spans="1:13">
      <c r="A28" s="16"/>
      <c r="B28" s="18"/>
      <c r="C28" s="16"/>
      <c r="D28" s="16"/>
      <c r="E28" s="17"/>
      <c r="F28" s="17"/>
      <c r="G28" s="17"/>
      <c r="H28" s="17"/>
      <c r="I28" s="16"/>
      <c r="J28" s="16"/>
      <c r="K28" s="17"/>
      <c r="L28" s="17"/>
      <c r="M28" s="17"/>
    </row>
    <row r="29" spans="1:13">
      <c r="A29" s="16"/>
      <c r="B29" s="18"/>
      <c r="C29" s="16"/>
      <c r="D29" s="16"/>
      <c r="E29" s="17"/>
      <c r="F29" s="17"/>
      <c r="G29" s="17"/>
      <c r="H29" s="17"/>
      <c r="I29" s="16"/>
      <c r="J29" s="16"/>
      <c r="K29" s="17"/>
      <c r="L29" s="17"/>
      <c r="M29" s="17"/>
    </row>
    <row r="30" spans="1:13">
      <c r="A30" s="16"/>
      <c r="B30" s="18"/>
      <c r="C30" s="16"/>
      <c r="D30" s="16"/>
      <c r="E30" s="17"/>
      <c r="F30" s="17"/>
      <c r="G30" s="17"/>
      <c r="H30" s="17"/>
      <c r="I30" s="16"/>
      <c r="J30" s="16"/>
      <c r="K30" s="17"/>
      <c r="L30" s="17"/>
      <c r="M30" s="17"/>
    </row>
    <row r="31" spans="1:13">
      <c r="A31" s="16"/>
      <c r="B31" s="18"/>
      <c r="C31" s="16"/>
      <c r="D31" s="16"/>
      <c r="E31" s="17"/>
      <c r="F31" s="17"/>
      <c r="G31" s="17"/>
      <c r="H31" s="17"/>
      <c r="I31" s="16"/>
      <c r="J31" s="16"/>
      <c r="K31" s="17"/>
      <c r="L31" s="17"/>
      <c r="M31" s="17"/>
    </row>
    <row r="32" spans="1:13">
      <c r="A32" s="16"/>
      <c r="B32" s="18"/>
      <c r="C32" s="16"/>
      <c r="D32" s="16"/>
      <c r="E32" s="17"/>
      <c r="F32" s="17"/>
      <c r="G32" s="17"/>
      <c r="H32" s="17"/>
      <c r="I32" s="16"/>
      <c r="J32" s="16"/>
      <c r="K32" s="17"/>
      <c r="L32" s="17"/>
      <c r="M32" s="17"/>
    </row>
    <row r="33" spans="1:13">
      <c r="A33" s="16"/>
      <c r="B33" s="18"/>
      <c r="C33" s="16"/>
      <c r="D33" s="16"/>
      <c r="E33" s="17"/>
      <c r="F33" s="17"/>
      <c r="G33" s="17"/>
      <c r="H33" s="17"/>
      <c r="I33" s="16"/>
      <c r="J33" s="16"/>
      <c r="K33" s="17"/>
      <c r="L33" s="17"/>
      <c r="M33" s="17"/>
    </row>
    <row r="34" spans="1:13">
      <c r="A34" s="16"/>
      <c r="B34" s="18"/>
      <c r="C34" s="16"/>
      <c r="D34" s="16"/>
      <c r="E34" s="17"/>
      <c r="F34" s="17"/>
      <c r="G34" s="17"/>
      <c r="H34" s="17"/>
      <c r="I34" s="16"/>
      <c r="J34" s="16"/>
      <c r="K34" s="17"/>
      <c r="L34" s="17"/>
      <c r="M34" s="17"/>
    </row>
    <row r="35" spans="1:13">
      <c r="A35" s="16"/>
      <c r="B35" s="18"/>
      <c r="C35" s="16"/>
      <c r="D35" s="16"/>
      <c r="E35" s="17"/>
      <c r="F35" s="17"/>
      <c r="G35" s="17"/>
      <c r="H35" s="17"/>
      <c r="I35" s="16"/>
      <c r="J35" s="16"/>
      <c r="K35" s="17"/>
      <c r="L35" s="17"/>
      <c r="M35" s="17"/>
    </row>
    <row r="36" spans="1:13">
      <c r="A36" s="16"/>
      <c r="B36" s="18"/>
      <c r="C36" s="16"/>
      <c r="D36" s="16"/>
      <c r="E36" s="17"/>
      <c r="F36" s="17"/>
      <c r="G36" s="17"/>
      <c r="H36" s="17"/>
      <c r="I36" s="16"/>
      <c r="J36" s="16"/>
      <c r="K36" s="17"/>
      <c r="L36" s="17"/>
      <c r="M36" s="17"/>
    </row>
    <row r="37" spans="1:13">
      <c r="A37" s="16"/>
      <c r="B37" s="18"/>
      <c r="C37" s="16"/>
      <c r="D37" s="16"/>
      <c r="E37" s="17"/>
      <c r="F37" s="17"/>
      <c r="G37" s="17"/>
      <c r="H37" s="17"/>
      <c r="I37" s="16"/>
      <c r="J37" s="16"/>
      <c r="K37" s="17"/>
      <c r="L37" s="17"/>
      <c r="M37" s="17"/>
    </row>
    <row r="38" spans="1:13">
      <c r="A38" s="16"/>
      <c r="B38" s="18"/>
      <c r="C38" s="16"/>
      <c r="D38" s="16"/>
      <c r="E38" s="17"/>
      <c r="F38" s="17"/>
      <c r="G38" s="17"/>
      <c r="H38" s="17"/>
      <c r="I38" s="16"/>
      <c r="J38" s="16"/>
      <c r="K38" s="17"/>
      <c r="L38" s="17"/>
      <c r="M38" s="17"/>
    </row>
    <row r="39" spans="1:13">
      <c r="A39" s="16"/>
      <c r="B39" s="18"/>
      <c r="C39" s="16"/>
      <c r="D39" s="16"/>
      <c r="E39" s="17"/>
      <c r="F39" s="17"/>
      <c r="G39" s="17"/>
      <c r="H39" s="17"/>
      <c r="I39" s="16"/>
      <c r="J39" s="16"/>
      <c r="K39" s="17"/>
      <c r="L39" s="17"/>
      <c r="M39" s="17"/>
    </row>
    <row r="40" spans="1:13">
      <c r="A40" s="16"/>
      <c r="B40" s="18"/>
      <c r="C40" s="16"/>
      <c r="D40" s="16"/>
      <c r="E40" s="17"/>
      <c r="F40" s="17"/>
      <c r="G40" s="17"/>
      <c r="H40" s="17"/>
      <c r="I40" s="16"/>
      <c r="J40" s="16"/>
      <c r="K40" s="17"/>
      <c r="L40" s="17"/>
      <c r="M40" s="17"/>
    </row>
    <row r="41" spans="1:13">
      <c r="A41" s="16"/>
      <c r="B41" s="18"/>
      <c r="C41" s="16"/>
      <c r="D41" s="16"/>
      <c r="E41" s="17"/>
      <c r="F41" s="17"/>
      <c r="G41" s="17"/>
      <c r="H41" s="17"/>
      <c r="I41" s="16"/>
      <c r="J41" s="16"/>
      <c r="K41" s="17"/>
      <c r="L41" s="17"/>
      <c r="M41" s="17"/>
    </row>
  </sheetData>
  <dataValidations count="2">
    <dataValidation type="list" allowBlank="1" sqref="I2:I500" xr:uid="{00000000-0002-0000-0300-000000000000}">
      <formula1>"Crítica,Alta,Media,Baja"</formula1>
      <formula2>0</formula2>
    </dataValidation>
    <dataValidation type="list" allowBlank="1" sqref="J2:J500" xr:uid="{00000000-0002-0000-0300-000001000000}">
      <formula1>"Abierto,En corrección,Corregido,Verificado,Rechazado"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2026-10-26T13:40:02Z</dcterms:created>
  <dcterms:modified xsi:type="dcterms:W3CDTF">2026-10-27T04:41:57Z</dcterms:modified>
  <cp:category/>
  <cp:contentStatus/>
</cp:coreProperties>
</file>