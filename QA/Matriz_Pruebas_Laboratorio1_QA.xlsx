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<sst xmlns="http://schemas.openxmlformats.org/spreadsheetml/2006/main" count="1956" uniqueCount="708">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</sst>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149</v>
      </c>
    </row>
    <row r="8" spans="1:2">
      <c r="A8" s="5" t="s">
        <v>6</v>
      </c>
      <c r="B8" s="6">
        <f>COUNTIF('Casos de prueba'!$K$2:$K$500,"Fallido")</f>
        <v>13</v>
      </c>
    </row>
    <row r="9" spans="1:2">
      <c r="A9" s="5" t="s">
        <v>7</v>
      </c>
      <c r="B9" s="6">
        <f>COUNTIF('Casos de prueba'!$K$2:$K$500,"Bloqueado")</f>
        <v>3</v>
      </c>
    </row>
    <row r="10" spans="1:2">
      <c r="A10" s="5" t="s">
        <v>8</v>
      </c>
      <c r="B10" s="6">
        <f>COUNTIF('Casos de prueba'!$K$2:$K$500,"Pendiente")</f>
        <v>0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0.981818181818182</v>
      </c>
    </row>
    <row r="13" spans="1:2">
      <c r="A13" s="5" t="s">
        <v>11</v>
      </c>
      <c r="B13" s="7">
        <f>IFERROR(B7/(B7+B8),0)</f>
        <v>0.919753086419753</v>
      </c>
    </row>
    <row r="14" spans="1:2">
      <c r="A14" s="5" t="s">
        <v>12</v>
      </c>
      <c r="B14" s="6">
        <f>COUNTIF(Defectos!$A$2:$A$500,"DEF-*")</f>
        <v>11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11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1</v>
      </c>
      <c r="E23" s="9">
        <f>COUNTIFS('Casos de prueba'!$C$2:$C$500,A23,'Casos de prueba'!$K$2:$K$500,"Pendiente")</f>
        <v>0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33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0</v>
      </c>
      <c r="F24" s="9">
        <f>COUNTIFS('Casos de prueba'!$C$2:$C$500,A24,'Casos de prueba'!$K$2:$K$500,"Bloqueado")</f>
        <v>1</v>
      </c>
      <c r="G24" s="10">
        <f t="shared" si="0"/>
        <v>0.825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3</v>
      </c>
      <c r="E26" s="9">
        <f>COUNTIFS('Casos de prueba'!$C$2:$C$500,A26,'Casos de prueba'!$K$2:$K$500,"Pendiente")</f>
        <v>0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149</v>
      </c>
      <c r="D27" s="12">
        <f>SUM(D20:D26)</f>
        <v>13</v>
      </c>
      <c r="E27" s="12">
        <f>SUM(E20:E26)</f>
        <v>0</v>
      </c>
      <c r="F27" s="12">
        <f>SUM(F20:F26)</f>
        <v>3</v>
      </c>
      <c r="G27" s="13">
        <f t="shared" si="0"/>
        <v>0.903030303030303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1</v>
      </c>
      <c r="H7" s="15">
        <f>COUNTIFS('Casos de prueba'!$B$2:$B$500,A7,'Casos de prueba'!$K$2:$K$500,"Pendiente")+COUNTIFS('Casos de prueba'!$B$2:$B$500,A7,'Casos de prueba'!$K$2:$K$500,"Bloqueado")</f>
        <v>0</v>
      </c>
      <c r="I7" s="15" t="str">
        <f t="shared" si="0"/>
        <v>Con fallos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20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1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2</v>
      </c>
      <c r="H12" s="15">
        <f>COUNTIFS('Casos de prueba'!$B$2:$B$500,A12,'Casos de prueba'!$K$2:$K$500,"Pendiente")+COUNTIFS('Casos de prueba'!$B$2:$B$500,A12,'Casos de prueba'!$K$2:$K$500,"Bloqueado")</f>
        <v>0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Fallido</t>
        </is>
      </c>
      <c r="L106" s="17" t="inlineStr">
        <is>
          <t xml:space="preserve">Las 20 operaciones se agrupan por recurso y documentan sus códigos, pero ninguna tiene resumen ni descripción, y ninguna de las 15 propiedades de los DTO se describe. Campos como cc, ccPer, des, duenio, idProf, nom no se explican.</t>
        </is>
      </c>
      <c r="M106" s="17" t="inlineStr">
        <is>
          <t xml:space="preserve">EV-SW-01.png, EV-SW-09.txt</t>
        </is>
      </c>
      <c r="N106" s="18">
        <v>46322</v>
      </c>
      <c r="O106" s="17" t="inlineStr">
        <is>
          <t xml:space="preserve">Automatizado</t>
        </is>
      </c>
      <c r="P106" s="17" t="inlineStr">
        <is>
          <t xml:space="preserve">El código ya tiene 4 comentarios /// &lt;summary&gt; en los DTO, pero el proyecto no genera el archivo XML de documentación, por lo que Swagger no los muestra. Revisión asistida: confirmar el criterio con el responsable de QA. Defecto DEF-10.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Bloqueado</t>
        </is>
      </c>
      <c r="L141" s="17" t="inlineStr">
        <is>
          <t xml:space="preserve">No se pudo abrir el diseño de Figma desde el entorno de pruebas (requiere sesión o permiso del autor).</t>
        </is>
      </c>
      <c r="M141" s="17" t="inlineStr">
        <is>
          <t xml:space="preserve">pantallas/EV-MVC-GEN-03-*.png, EV-MVC-GEN-03.txt</t>
        </is>
      </c>
      <c r="N141" s="18">
        <v>46322</v>
      </c>
      <c r="O141" s="17" t="inlineStr">
        <is>
          <t xml:space="preserve">Automatizado</t>
        </is>
      </c>
      <c r="P141" s="17" t="inlineStr">
        <is>
          <t xml:space="preserve">Las 21 capturas de las pantallas implementadas están listas. Falta el enlace compartido de Figma o las exportaciones de Andrés para completar la comparación.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Aprobado</t>
        </is>
      </c>
      <c r="L142" s="17" t="inlineStr">
        <is>
          <t xml:space="preserve">En 1366, 768 y 375 px ninguna página desborda horizontalmente; en tableta y móvil el menú lateral pasa a la parte superior, los formularios quedan en una columna y las tablas se desplazan dentro de su contenedor. El texto es legible (letra mínima 12 px).</t>
        </is>
      </c>
      <c r="M142" s="17" t="inlineStr">
        <is>
          <t xml:space="preserve">EV-MVC-GEN-04-*.png, EV-MVC-GEN-04-resumen-vacio.png, EV-MVC-GEN-04.txt</t>
        </is>
      </c>
      <c r="N142" s="18">
        <v>46322</v>
      </c>
      <c r="O142" s="17" t="inlineStr">
        <is>
          <t xml:space="preserve">Automatizado</t>
        </is>
      </c>
      <c r="P142" s="17" t="inlineStr">
        <is>
          <t xml:space="preserve">En móvil la columna Acciones de los listados queda fuera de la vista y requiere desplazar la tabla; no hay indicación visual de que se puede desplazar. Hallazgo visual en todos los anchos: /Personas/Create:, /Profesiones/Create: muestran un recuadro de error vacío antes de enviar el formulario. Revisión asistida: confirmar el criterio con el responsable de QA. Defecto DEF-09.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Aprobado</t>
        </is>
      </c>
      <c r="L143" s="17" t="inlineStr">
        <is>
          <t xml:space="preserve">El flujo completo (inicio, validación, alta con selectores y fecha, edición, detalle, rechazo por dependientes y eliminación) se comporta igual en: Chromium (Chrome/Edge) 156.0.8078.4: 10/10 pasos; Firefox 157.0: 10/10 pasos; WebKit (Safari) 27.2: 10/10 pasos. Sin errores de consola.</t>
        </is>
      </c>
      <c r="M143" s="17" t="inlineStr">
        <is>
          <t xml:space="preserve">EV-MVC-GEN-05-*.png, EV-MVC-GEN-05.txt</t>
        </is>
      </c>
      <c r="N143" s="18">
        <v>46322</v>
      </c>
      <c r="O143" s="17" t="inlineStr">
        <is>
          <t xml:space="preserve">Automatizado</t>
        </is>
      </c>
      <c r="P143" s="17" t="inlineStr">
        <is>
          <t xml:space="preserve">Chrome y Edge no están instalados en el equipo de pruebas; se usaron los motores de Playwright: Chromium (el de Chrome y Edge), Firefox y WebKit (el de Safari), sin interfaz grafica.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46322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46322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Fallido</t>
        </is>
      </c>
      <c r="L166" s="17" t="inlineStr">
        <is>
          <t xml:space="preserve">La redacción está en tercera persona y sin voseo, pero 39 párrafos de cuerpo usan el estilo de título Heading2, hay 3 oraciones que empiezan en minúscula tras punto (sección 1.2), las secciones 3.5 y 3.7 mencionan a Codex y las referencias están marcadas como preliminares.</t>
        </is>
      </c>
      <c r="M166" s="17" t="inlineStr">
        <is>
          <t xml:space="preserve">EV-ENT-12.txt</t>
        </is>
      </c>
      <c r="N166" s="18">
        <v>46322</v>
      </c>
      <c r="O166" s="17" t="inlineStr">
        <is>
          <t xml:space="preserve">Automatizado</t>
        </is>
      </c>
      <c r="P166" s="17" t="inlineStr">
        <is>
          <t xml:space="preserve">Las referencias no incluyen las fuentes usadas de ASP.NET Core MVC, EF Core, SQL Server ni Swagger; la de Microsoft Learn corresponde a Entity Data Model (EF 6). Revisado sobre la copia _QA. Revisión asistida: confirmar el criterio con el responsable de QA. Defecto DEF-11.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46322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Abierto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</t>
        </is>
      </c>
    </row>
    <row r="3" spans="1:13">
      <c r="A3" s="16" t="inlineStr">
        <is>
          <t xml:space="preserve">DEF-02</t>
        </is>
      </c>
      <c r="B3" s="18">
        <v>46322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Abierto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</t>
        </is>
      </c>
    </row>
    <row r="4" spans="1:13">
      <c r="A4" s="16" t="inlineStr">
        <is>
          <t xml:space="preserve">DEF-03</t>
        </is>
      </c>
      <c r="B4" s="18">
        <v>46322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Abierto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</t>
        </is>
      </c>
    </row>
    <row r="5" spans="1:13">
      <c r="A5" s="16" t="inlineStr">
        <is>
          <t xml:space="preserve">DEF-04</t>
        </is>
      </c>
      <c r="B5" s="18">
        <v>46322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Abierto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</t>
        </is>
      </c>
    </row>
    <row r="6" spans="1:13">
      <c r="A6" s="16" t="inlineStr">
        <is>
          <t xml:space="preserve">DEF-05</t>
        </is>
      </c>
      <c r="B6" s="18">
        <v>46322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Abierto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</t>
        </is>
      </c>
    </row>
    <row r="7" spans="1:13">
      <c r="A7" s="16" t="inlineStr">
        <is>
          <t xml:space="preserve">DEF-06</t>
        </is>
      </c>
      <c r="B7" s="18">
        <v>46322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Abierto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</t>
        </is>
      </c>
    </row>
    <row r="8" spans="1:13">
      <c r="A8" s="16" t="inlineStr">
        <is>
          <t xml:space="preserve">DEF-07</t>
        </is>
      </c>
      <c r="B8" s="18">
        <v>46322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Abierto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Propuesta: agregar &lt;th&gt;Edad&lt;/th&gt; y &lt;td&gt;@item.Edad&lt;/td&gt; en Views/Personas/Index.cshtml, o ajustar el caso si la omisión fue una decisión de diseño (comparar con Figma).</t>
        </is>
      </c>
    </row>
    <row r="9" spans="1:13">
      <c r="A9" s="16" t="inlineStr">
        <is>
          <t xml:space="preserve">DEF-08</t>
        </is>
      </c>
      <c r="B9" s="18">
        <v>46322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 t="inlineStr">
        <is>
          <t xml:space="preserve">DEF-09</t>
        </is>
      </c>
      <c r="B10" s="18">
        <v>46322</v>
      </c>
      <c r="C10" s="16" t="inlineStr">
        <is>
          <t xml:space="preserve">MVC-GEN-04</t>
        </is>
      </c>
      <c r="D10" s="16" t="inlineStr">
        <is>
          <t xml:space="preserve">R07</t>
        </is>
      </c>
      <c r="E10" s="17" t="inlineStr">
        <is>
          <t xml:space="preserve">Frontend MVC</t>
        </is>
      </c>
      <c r="F10" s="17" t="inlineStr">
        <is>
          <t xml:space="preserve">Los formularios de creación de personas y profesiones muestran un recuadro de error vacío antes de enviar.</t>
        </is>
      </c>
      <c r="G10" s="17" t="inlineStr">
        <is>
          <t xml:space="preserve">1. Abrir /Personas/Create o /Profesiones/Create sin enviar datos.</t>
        </is>
      </c>
      <c r="H10" s="17" t="inlineStr">
        <is>
          <t xml:space="preserve">Esperado: sin resumen de errores hasta enviar. Obtenido: div de validación con la clase validation-summary-errors y un recuadro rojo vacío de 24 px en los tres anchos.</t>
        </is>
      </c>
      <c r="I10" s="16" t="inlineStr">
        <is>
          <t xml:space="preserve">Baja</t>
        </is>
      </c>
      <c r="J10" s="16" t="inlineStr">
        <is>
          <t xml:space="preserve">Abierto</t>
        </is>
      </c>
      <c r="K10" s="17" t="inlineStr">
        <is>
          <t xml:space="preserve">Andrés</t>
        </is>
      </c>
      <c r="L10" s="17" t="inlineStr">
        <is>
          <t xml:space="preserve">EV-MVC-GEN-04-resumen-vacio.png, EV-MVC-GEN-04.txt</t>
        </is>
      </c>
      <c r="M10" s="17" t="inlineStr">
        <is>
          <t xml:space="preserve">Hallazgo visual durante MVC-GEN-04; no impide usar el formulario. Causa probable: el GET de Create llama a ModelState.SetModelValue para dejar la clave vacía y el estado queda sin validar. Propuesta: quitar esa llamada (por ejemplo, mostrar la clave vacía con un DTO de vista con clave nullable) o renderizar el resumen solo si hay errores.</t>
        </is>
      </c>
    </row>
    <row r="11" spans="1:13">
      <c r="A11" s="16" t="inlineStr">
        <is>
          <t xml:space="preserve">DEF-10</t>
        </is>
      </c>
      <c r="B11" s="18">
        <v>46322</v>
      </c>
      <c r="C11" s="16" t="inlineStr">
        <is>
          <t xml:space="preserve">SW-09</t>
        </is>
      </c>
      <c r="D11" s="16" t="inlineStr">
        <is>
          <t xml:space="preserve">R06</t>
        </is>
      </c>
      <c r="E11" s="17" t="inlineStr">
        <is>
          <t xml:space="preserve">Swagger</t>
        </is>
      </c>
      <c r="F11" s="17" t="inlineStr">
        <is>
          <t xml:space="preserve">Swagger no muestra resumenes de las operaciones ni descripciones de parametros y campos.</t>
        </is>
      </c>
      <c r="G11" s="17" t="inlineStr">
        <is>
          <t xml:space="preserve">1. Abrir /swagger. 2. Revisar operaciones y esquemas (o swagger.json).</t>
        </is>
      </c>
      <c r="H11" s="17" t="inlineStr">
        <is>
          <t xml:space="preserve">Esperado: un tercero entiende y prueba la API sin explicacion adicional. Obtenido: 0 de 20 operaciones con resumen y 0 de 15 propiedades con descripción; campos como duenio, oper, nom o univer no se explican.</t>
        </is>
      </c>
      <c r="I11" s="16" t="inlineStr">
        <is>
          <t xml:space="preserve">Baja</t>
        </is>
      </c>
      <c r="J11" s="16" t="inlineStr">
        <is>
          <t xml:space="preserve">Abierto</t>
        </is>
      </c>
      <c r="K11" s="17" t="inlineStr">
        <is>
          <t xml:space="preserve">Tomás</t>
        </is>
      </c>
      <c r="L11" s="17" t="inlineStr">
        <is>
          <t xml:space="preserve">EV-SW-09.txt, EV-SW-01.png</t>
        </is>
      </c>
      <c r="M11" s="17" t="inlineStr">
        <is>
          <t xml:space="preserve">Propuesta: &lt;GenerateDocumentationFile&gt;true&lt;/GenerateDocumentationFile&gt; en el .csproj, options.IncludeXmlComments(...) en AddSwaggerGen y comentarios /// en controladores y DTO (ya existen 4 en los DTO).</t>
        </is>
      </c>
    </row>
    <row r="12" spans="1:13">
      <c r="A12" s="16" t="inlineStr">
        <is>
          <t xml:space="preserve">DEF-11</t>
        </is>
      </c>
      <c r="B12" s="18">
        <v>46322</v>
      </c>
      <c r="C12" s="16" t="inlineStr">
        <is>
          <t xml:space="preserve">ENT-12</t>
        </is>
      </c>
      <c r="D12" s="16" t="inlineStr">
        <is>
          <t xml:space="preserve">R11</t>
        </is>
      </c>
      <c r="E12" s="17" t="inlineStr">
        <is>
          <t xml:space="preserve">Repositorio y entrega</t>
        </is>
      </c>
      <c r="F12" s="17" t="inlineStr">
        <is>
          <t xml:space="preserve">El documento mezcla estilos de título y cuerpo, tiene errores de mayusculas, menciona a Codex y sus referencias están incompletas.</t>
        </is>
      </c>
      <c r="G12" s="17" t="inlineStr">
        <is>
          <t xml:space="preserve">1. Abrir el documento y revisar estilos de parrafo, redaccion y referencias.</t>
        </is>
      </c>
      <c r="H12" s="17" t="inlineStr">
        <is>
          <t xml:space="preserve">Esperado: formato uniforme, tercera persona y referencias completas. Obtenido: 39 parrafos de cuerpo con estilo Heading2, oraciones en minuscula tras punto en 1.2, mencion a Codex en 3.5 y 3.7 y referencias marcadas como preliminares.</t>
        </is>
      </c>
      <c r="I12" s="16" t="inlineStr">
        <is>
          <t xml:space="preserve">Baja</t>
        </is>
      </c>
      <c r="J12" s="16" t="inlineStr">
        <is>
          <t xml:space="preserve">Abierto</t>
        </is>
      </c>
      <c r="K12" s="17" t="inlineStr">
        <is>
          <t xml:space="preserve">Andrés</t>
        </is>
      </c>
      <c r="L12" s="17" t="inlineStr">
        <is>
          <t xml:space="preserve">EV-ENT-12.txt</t>
        </is>
      </c>
      <c r="M12" s="17" t="inlineStr">
        <is>
          <t xml:space="preserve">Propuesta: aplicar Normal a los parrafos de cuerpo y un estilo de pie a las figuras, corregir las mayusculas de 1.2, decidir con el equipo si se menciona la herramienta usada y completar las referencias en APA (ASP.NET Core MVC, EF Core, SQL Server, Swashbuckle).</t>
        </is>
      </c>
    </row>
    <row r="13" spans="1:13">
      <c r="A13" s="16"/>
      <c r="B13" s="18"/>
      <c r="C13" s="16"/>
      <c r="D13" s="16"/>
      <c r="E13" s="17"/>
      <c r="F13" s="17"/>
      <c r="G13" s="17"/>
      <c r="H13" s="17"/>
      <c r="I13" s="16"/>
      <c r="J13" s="16"/>
      <c r="K13" s="17"/>
      <c r="L13" s="17"/>
      <c r="M13" s="17"/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